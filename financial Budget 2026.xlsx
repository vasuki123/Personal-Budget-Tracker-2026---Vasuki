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suk\Downloads\"/>
    </mc:Choice>
  </mc:AlternateContent>
  <xr:revisionPtr revIDLastSave="0" documentId="13_ncr:1_{502C05F9-E33B-4CC6-BEFA-D8B66A3106EC}" xr6:coauthVersionLast="47" xr6:coauthVersionMax="47" xr10:uidLastSave="{00000000-0000-0000-0000-000000000000}"/>
  <bookViews>
    <workbookView xWindow="-110" yWindow="-110" windowWidth="19420" windowHeight="10300" tabRatio="500" firstSheet="1" activeTab="2" xr2:uid="{00000000-000D-0000-FFFF-FFFF00000000}"/>
  </bookViews>
  <sheets>
    <sheet name="Dashboard" sheetId="1" r:id="rId1"/>
    <sheet name="Monthly Tracker" sheetId="2" r:id="rId2"/>
    <sheet name="Spending Insights" sheetId="3" r:id="rId3"/>
    <sheet name="How To U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" i="3" l="1"/>
  <c r="D37" i="3"/>
  <c r="D36" i="3"/>
  <c r="D35" i="3"/>
  <c r="D34" i="3"/>
  <c r="M13" i="3"/>
  <c r="L13" i="3"/>
  <c r="K13" i="3"/>
  <c r="J13" i="3"/>
  <c r="I13" i="3"/>
  <c r="H13" i="3"/>
  <c r="G13" i="3"/>
  <c r="F13" i="3"/>
  <c r="E13" i="3"/>
  <c r="D13" i="3"/>
  <c r="C13" i="3"/>
  <c r="B13" i="3"/>
  <c r="M12" i="3"/>
  <c r="L12" i="3"/>
  <c r="K12" i="3"/>
  <c r="J12" i="3"/>
  <c r="I12" i="3"/>
  <c r="H12" i="3"/>
  <c r="G12" i="3"/>
  <c r="F12" i="3"/>
  <c r="E12" i="3"/>
  <c r="D12" i="3"/>
  <c r="C12" i="3"/>
  <c r="B12" i="3"/>
  <c r="M8" i="3"/>
  <c r="L8" i="3"/>
  <c r="K8" i="3"/>
  <c r="J8" i="3"/>
  <c r="I8" i="3"/>
  <c r="H8" i="3"/>
  <c r="G8" i="3"/>
  <c r="F8" i="3"/>
  <c r="E8" i="3"/>
  <c r="D8" i="3"/>
  <c r="C8" i="3"/>
  <c r="B8" i="3"/>
  <c r="M7" i="3"/>
  <c r="L7" i="3"/>
  <c r="K7" i="3"/>
  <c r="J7" i="3"/>
  <c r="I7" i="3"/>
  <c r="H7" i="3"/>
  <c r="G7" i="3"/>
  <c r="F7" i="3"/>
  <c r="E7" i="3"/>
  <c r="D7" i="3"/>
  <c r="C7" i="3"/>
  <c r="B7" i="3"/>
  <c r="M6" i="3"/>
  <c r="L6" i="3"/>
  <c r="K6" i="3"/>
  <c r="J6" i="3"/>
  <c r="I6" i="3"/>
  <c r="H6" i="3"/>
  <c r="G6" i="3"/>
  <c r="F6" i="3"/>
  <c r="E6" i="3"/>
  <c r="D6" i="3"/>
  <c r="C6" i="3"/>
  <c r="B6" i="3"/>
  <c r="J37" i="2"/>
  <c r="E37" i="2"/>
  <c r="N35" i="2"/>
  <c r="M35" i="2"/>
  <c r="D19" i="1" s="1"/>
  <c r="L35" i="2"/>
  <c r="K35" i="2"/>
  <c r="J35" i="2"/>
  <c r="I35" i="2"/>
  <c r="H35" i="2"/>
  <c r="G35" i="2"/>
  <c r="D13" i="1" s="1"/>
  <c r="E13" i="1" s="1"/>
  <c r="F35" i="2"/>
  <c r="D12" i="1" s="1"/>
  <c r="E35" i="2"/>
  <c r="D35" i="2"/>
  <c r="C35" i="2"/>
  <c r="O34" i="2"/>
  <c r="O33" i="2"/>
  <c r="O32" i="2"/>
  <c r="O31" i="2"/>
  <c r="O30" i="2"/>
  <c r="O35" i="2" s="1"/>
  <c r="G5" i="1" s="1"/>
  <c r="N28" i="2"/>
  <c r="M20" i="3" s="1"/>
  <c r="M28" i="2"/>
  <c r="L20" i="3" s="1"/>
  <c r="L28" i="2"/>
  <c r="L19" i="3" s="1"/>
  <c r="K28" i="2"/>
  <c r="J14" i="3" s="1"/>
  <c r="J28" i="2"/>
  <c r="I14" i="3" s="1"/>
  <c r="I28" i="2"/>
  <c r="H14" i="3" s="1"/>
  <c r="H28" i="2"/>
  <c r="G14" i="3" s="1"/>
  <c r="G28" i="2"/>
  <c r="F14" i="3" s="1"/>
  <c r="F28" i="2"/>
  <c r="E14" i="3" s="1"/>
  <c r="E28" i="2"/>
  <c r="D14" i="3" s="1"/>
  <c r="D28" i="2"/>
  <c r="C14" i="3" s="1"/>
  <c r="C28" i="2"/>
  <c r="B14" i="3" s="1"/>
  <c r="O27" i="2"/>
  <c r="B38" i="3" s="1"/>
  <c r="O26" i="2"/>
  <c r="B37" i="3" s="1"/>
  <c r="O25" i="2"/>
  <c r="B36" i="3" s="1"/>
  <c r="O24" i="2"/>
  <c r="B35" i="3" s="1"/>
  <c r="O23" i="2"/>
  <c r="B34" i="3" s="1"/>
  <c r="O22" i="2"/>
  <c r="B33" i="3" s="1"/>
  <c r="D33" i="3" s="1"/>
  <c r="O21" i="2"/>
  <c r="B32" i="3" s="1"/>
  <c r="D32" i="3" s="1"/>
  <c r="O20" i="2"/>
  <c r="B31" i="3" s="1"/>
  <c r="D31" i="3" s="1"/>
  <c r="O19" i="2"/>
  <c r="B30" i="3" s="1"/>
  <c r="D30" i="3" s="1"/>
  <c r="O18" i="2"/>
  <c r="B29" i="3" s="1"/>
  <c r="D29" i="3" s="1"/>
  <c r="O17" i="2"/>
  <c r="B28" i="3" s="1"/>
  <c r="D28" i="3" s="1"/>
  <c r="O16" i="2"/>
  <c r="B27" i="3" s="1"/>
  <c r="D27" i="3" s="1"/>
  <c r="O15" i="2"/>
  <c r="B26" i="3" s="1"/>
  <c r="D26" i="3" s="1"/>
  <c r="O14" i="2"/>
  <c r="B25" i="3" s="1"/>
  <c r="D25" i="3" s="1"/>
  <c r="O13" i="2"/>
  <c r="O28" i="2" s="1"/>
  <c r="O11" i="2"/>
  <c r="A5" i="1" s="1"/>
  <c r="N11" i="2"/>
  <c r="N37" i="2" s="1"/>
  <c r="M11" i="2"/>
  <c r="M37" i="2" s="1"/>
  <c r="L11" i="2"/>
  <c r="K11" i="2"/>
  <c r="K37" i="2" s="1"/>
  <c r="J11" i="2"/>
  <c r="I11" i="2"/>
  <c r="I37" i="2" s="1"/>
  <c r="H11" i="2"/>
  <c r="H37" i="2" s="1"/>
  <c r="G11" i="2"/>
  <c r="G37" i="2" s="1"/>
  <c r="F11" i="2"/>
  <c r="E11" i="2"/>
  <c r="B11" i="1" s="1"/>
  <c r="D11" i="2"/>
  <c r="B10" i="1" s="1"/>
  <c r="C11" i="2"/>
  <c r="C37" i="2" s="1"/>
  <c r="O10" i="2"/>
  <c r="O9" i="2"/>
  <c r="O8" i="2"/>
  <c r="O7" i="2"/>
  <c r="O6" i="2"/>
  <c r="F20" i="1"/>
  <c r="D20" i="1"/>
  <c r="C20" i="1"/>
  <c r="B20" i="1"/>
  <c r="E20" i="1" s="1"/>
  <c r="B19" i="1"/>
  <c r="F19" i="1" s="1"/>
  <c r="D18" i="1"/>
  <c r="B18" i="1"/>
  <c r="F18" i="1" s="1"/>
  <c r="D17" i="1"/>
  <c r="D16" i="1"/>
  <c r="C16" i="1"/>
  <c r="B16" i="1"/>
  <c r="F16" i="1" s="1"/>
  <c r="D15" i="1"/>
  <c r="C15" i="1"/>
  <c r="B15" i="1"/>
  <c r="F15" i="1" s="1"/>
  <c r="D14" i="1"/>
  <c r="C14" i="1"/>
  <c r="B14" i="1"/>
  <c r="F14" i="1" s="1"/>
  <c r="C13" i="1"/>
  <c r="B13" i="1"/>
  <c r="F13" i="1" s="1"/>
  <c r="C12" i="1"/>
  <c r="B12" i="1"/>
  <c r="D11" i="1"/>
  <c r="C11" i="1"/>
  <c r="D10" i="1"/>
  <c r="C10" i="1"/>
  <c r="D9" i="1"/>
  <c r="C9" i="1"/>
  <c r="E9" i="1" s="1"/>
  <c r="B9" i="1"/>
  <c r="F9" i="1" s="1"/>
  <c r="E5" i="1"/>
  <c r="D21" i="1" l="1"/>
  <c r="E12" i="1"/>
  <c r="F10" i="1"/>
  <c r="E10" i="1"/>
  <c r="E11" i="1"/>
  <c r="F11" i="1"/>
  <c r="D5" i="1"/>
  <c r="K5" i="1"/>
  <c r="C38" i="3"/>
  <c r="E38" i="3" s="1"/>
  <c r="C35" i="3"/>
  <c r="E35" i="3" s="1"/>
  <c r="C32" i="3"/>
  <c r="E32" i="3" s="1"/>
  <c r="C29" i="3"/>
  <c r="E29" i="3" s="1"/>
  <c r="C26" i="3"/>
  <c r="E26" i="3" s="1"/>
  <c r="C37" i="3"/>
  <c r="E37" i="3" s="1"/>
  <c r="C34" i="3"/>
  <c r="E34" i="3" s="1"/>
  <c r="C31" i="3"/>
  <c r="E31" i="3" s="1"/>
  <c r="C28" i="3"/>
  <c r="E28" i="3" s="1"/>
  <c r="C25" i="3"/>
  <c r="E25" i="3" s="1"/>
  <c r="J5" i="1"/>
  <c r="H5" i="1"/>
  <c r="C36" i="3"/>
  <c r="E36" i="3" s="1"/>
  <c r="C33" i="3"/>
  <c r="E33" i="3" s="1"/>
  <c r="C30" i="3"/>
  <c r="E30" i="3" s="1"/>
  <c r="C27" i="3"/>
  <c r="E27" i="3" s="1"/>
  <c r="C24" i="3"/>
  <c r="E24" i="3" s="1"/>
  <c r="K14" i="3"/>
  <c r="L18" i="3"/>
  <c r="M19" i="3"/>
  <c r="B24" i="3"/>
  <c r="D24" i="3" s="1"/>
  <c r="L14" i="3"/>
  <c r="M18" i="3"/>
  <c r="C20" i="3"/>
  <c r="O37" i="2"/>
  <c r="M14" i="3"/>
  <c r="C19" i="3"/>
  <c r="D20" i="3"/>
  <c r="F12" i="1"/>
  <c r="E15" i="1"/>
  <c r="C18" i="1"/>
  <c r="D37" i="2"/>
  <c r="C18" i="3"/>
  <c r="D19" i="3"/>
  <c r="E20" i="3"/>
  <c r="D18" i="3"/>
  <c r="E19" i="3"/>
  <c r="F20" i="3"/>
  <c r="E18" i="1"/>
  <c r="B21" i="1"/>
  <c r="F37" i="2"/>
  <c r="E18" i="3"/>
  <c r="F19" i="3"/>
  <c r="G20" i="3"/>
  <c r="F18" i="3"/>
  <c r="G19" i="3"/>
  <c r="H20" i="3"/>
  <c r="E16" i="1"/>
  <c r="G18" i="3"/>
  <c r="H19" i="3"/>
  <c r="I20" i="3"/>
  <c r="C19" i="1"/>
  <c r="H18" i="3"/>
  <c r="I19" i="3"/>
  <c r="J20" i="3"/>
  <c r="I18" i="3"/>
  <c r="J19" i="3"/>
  <c r="K20" i="3"/>
  <c r="E14" i="1"/>
  <c r="B17" i="1"/>
  <c r="C17" i="1"/>
  <c r="C21" i="1" s="1"/>
  <c r="E19" i="1"/>
  <c r="J18" i="3"/>
  <c r="K19" i="3"/>
  <c r="L37" i="2"/>
  <c r="K18" i="3"/>
  <c r="E21" i="1" l="1"/>
  <c r="F21" i="1"/>
  <c r="F17" i="1"/>
  <c r="E17" i="1"/>
</calcChain>
</file>

<file path=xl/sharedStrings.xml><?xml version="1.0" encoding="utf-8"?>
<sst xmlns="http://schemas.openxmlformats.org/spreadsheetml/2006/main" count="200" uniqueCount="106">
  <si>
    <t>PERSONAL FINANCE DASHBOARD</t>
  </si>
  <si>
    <t>Your money at a glance. All numbers update automatically.</t>
  </si>
  <si>
    <t>TOTAL INCOME</t>
  </si>
  <si>
    <t>TOTAL EXPENSES</t>
  </si>
  <si>
    <t>TOTAL SAVINGS</t>
  </si>
  <si>
    <t>NET BALANCE</t>
  </si>
  <si>
    <t>MONTHLY BREAKDOWN</t>
  </si>
  <si>
    <t>Month</t>
  </si>
  <si>
    <t>Income</t>
  </si>
  <si>
    <t>Expenses</t>
  </si>
  <si>
    <t>Savings</t>
  </si>
  <si>
    <t>Net Balance</t>
  </si>
  <si>
    <t>Savings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</si>
  <si>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</si>
  <si>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</si>
  <si>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</si>
  <si>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</si>
  <si>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</si>
  <si>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</si>
  <si>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</si>
  <si>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</si>
  <si>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</si>
  <si>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</si>
  <si>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</si>
  <si>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</si>
  <si>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TOTAL</t>
  </si>
  <si>
    <t>MONTHLY BUDGET TRACKER</t>
  </si>
  <si>
    <t>Blue cells = your input. Black cells = auto-calculated. Enter your numbers below.</t>
  </si>
  <si>
    <t>Category</t>
  </si>
  <si>
    <t>Type</t>
  </si>
  <si>
    <t>INCOME</t>
  </si>
  <si>
    <t>Salary/Wages</t>
  </si>
  <si>
    <t>Freelance/Side Income</t>
  </si>
  <si>
    <t>Investment Returns</t>
  </si>
  <si>
    <t>Rental Income</t>
  </si>
  <si>
    <t>Other Income</t>
  </si>
  <si>
    <t>EXPENSES</t>
  </si>
  <si>
    <t>Housing/Rent</t>
  </si>
  <si>
    <t>Expense</t>
  </si>
  <si>
    <t>Utilities (Electric, Water, Gas)</t>
  </si>
  <si>
    <t>Groceries</t>
  </si>
  <si>
    <t>Transportation/Gas</t>
  </si>
  <si>
    <t>Insurance (Health, Car, Home)</t>
  </si>
  <si>
    <t>Phone/Internet</t>
  </si>
  <si>
    <t>Dining Out/Restaurants</t>
  </si>
  <si>
    <t>Entertainment/Subscriptions</t>
  </si>
  <si>
    <t>Clothing/Personal Care</t>
  </si>
  <si>
    <t>Medical/Healthcare</t>
  </si>
  <si>
    <t>Education/Learning</t>
  </si>
  <si>
    <t>Childcare/Family</t>
  </si>
  <si>
    <t>Home Maintenance</t>
  </si>
  <si>
    <t>Gifts/Donations</t>
  </si>
  <si>
    <t>Miscellaneous</t>
  </si>
  <si>
    <t>SAVINGS</t>
  </si>
  <si>
    <t>Emergency Fund</t>
  </si>
  <si>
    <t>Retirement (401K/IRA)</t>
  </si>
  <si>
    <t>Investment Account</t>
  </si>
  <si>
    <t>Vacation Fund</t>
  </si>
  <si>
    <t>Other Savings</t>
  </si>
  <si>
    <t>NET BALANCE (Income minus Expenses minus Savings)</t>
  </si>
  <si>
    <t>SPENDING INSIGHTS</t>
  </si>
  <si>
    <t>See where your money goes. Find where to cut. Make smarter decisions.</t>
  </si>
  <si>
    <t>YOUR TOP 3 HIGHEST EXPENSES EACH MONTH</t>
  </si>
  <si>
    <t>Rank</t>
  </si>
  <si>
    <t>#1 Highest</t>
  </si>
  <si>
    <t>#2 Highest</t>
  </si>
  <si>
    <t>#3 Highest</t>
  </si>
  <si>
    <t>WHAT CATEGORY IS COSTING YOU THE MOST?</t>
  </si>
  <si>
    <t>Insight</t>
  </si>
  <si>
    <t>Highest Expense Category</t>
  </si>
  <si>
    <t>Amount Spent</t>
  </si>
  <si>
    <t>% of Total Expenses</t>
  </si>
  <si>
    <t>ARE YOUR EXPENSES GOING UP OR DOWN? (Month over Month Change)</t>
  </si>
  <si>
    <t>Metric</t>
  </si>
  <si>
    <t>Total Expense Change ($)</t>
  </si>
  <si>
    <t>N/A</t>
  </si>
  <si>
    <t>Change (%)</t>
  </si>
  <si>
    <t>Verdict</t>
  </si>
  <si>
    <t>WHERE TO REDUCE: YOUR ANNUAL EXPENSE BREAKDOWN (Sorted by Amount)</t>
  </si>
  <si>
    <t>Expense Category</t>
  </si>
  <si>
    <t>Annual Total</t>
  </si>
  <si>
    <t>% of All Expenses</t>
  </si>
  <si>
    <t>Monthly Average</t>
  </si>
  <si>
    <t>Recommendation</t>
  </si>
  <si>
    <t>How to Use This Template</t>
  </si>
  <si>
    <t>STEP 1: Go to the Monthly Tracker tab</t>
  </si>
  <si>
    <t>Enter your monthly income, expenses, and savings in the blue-colored cells. Each row is a category, each column is a month.</t>
  </si>
  <si>
    <t>Sample data is included for Jan through Mar so you can see how it works. Replace it with your own numbers.</t>
  </si>
  <si>
    <t>STEP 2: Check the Dashboard</t>
  </si>
  <si>
    <t>The Dashboard updates automatically. You'll see your total income, expenses, savings, and net balance at a glance.</t>
  </si>
  <si>
    <t>Charts show your income vs expenses trend, net balance trend, and savings rate over time.</t>
  </si>
  <si>
    <t>STEP 3: Check the Spending Insights tab (NEW!)</t>
  </si>
  <si>
    <t>This is where the real magic happens. The Spending Insights tab automatically tells you:</t>
  </si>
  <si>
    <t xml:space="preserve">  • Your top 3 highest expenses each month</t>
  </si>
  <si>
    <t xml:space="preserve">  • Which category is costing you the most (and what % of your total expenses)</t>
  </si>
  <si>
    <t xml:space="preserve">  • Whether your spending is going up or down month over month</t>
  </si>
  <si>
    <t xml:space="preserve">  • A recommendation for each expense category: HIGH (review for savings), MODERATE (look to trim), WATCH (small but adds up), or OK (reasonable)</t>
  </si>
  <si>
    <t xml:space="preserve">  • A pie chart showing exactly where your money goes annually</t>
  </si>
  <si>
    <t>WHAT IS INCLUDED:</t>
  </si>
  <si>
    <t>Dashboard: 4 KPI cards, monthly breakdown table, income vs expense chart, net balance trend, savings rate trend</t>
  </si>
  <si>
    <t>Monthly Tracker: 5 income categories, 15 expense categories, 5 savings categories, 12 months, all auto-calculated</t>
  </si>
  <si>
    <t>Spending Insights: Top 3 expenses, highest category tracker, month-over-month change with verdicts, annual breakdown with recommendations, pie chart</t>
  </si>
  <si>
    <t>How To Use: This page with step-by-step instructions</t>
  </si>
  <si>
    <t>Sample data is included for Jan through Mar. Delete it and replace with your own numbers.</t>
  </si>
  <si>
    <t>Created by Vasuki Balasubramanian | vasukib31@gmail.com</t>
  </si>
  <si>
    <t>PERSONAL FINANCE BUDGET TRACKER 2026 - Vasuki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</si>
</sst>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[$$-409]#,##0.00;[Red]\-[$$-409]#,##0.00"/>
    <numFmt numFmtId="167" formatCode="0.0%"/>
  </numFmts>
  <fonts count="2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1E3A5F"/>
      <name val="Arial"/>
      <family val="2"/>
    </font>
    <font>
      <sz val="10"/>
      <color rgb="FF64748B"/>
      <name val="Arial"/>
      <family val="2"/>
    </font>
    <font>
      <b/>
      <sz val="9"/>
      <color rgb="FF64748B"/>
      <name val="Arial"/>
      <family val="2"/>
    </font>
    <font>
      <b/>
      <sz val="20"/>
      <color rgb="FF10B981"/>
      <name val="Arial"/>
      <family val="2"/>
    </font>
    <font>
      <b/>
      <sz val="20"/>
      <color rgb="FFEF4444"/>
      <name val="Arial"/>
      <family val="2"/>
    </font>
    <font>
      <b/>
      <sz val="20"/>
      <color rgb="FF3B82F6"/>
      <name val="Arial"/>
      <family val="2"/>
    </font>
    <font>
      <b/>
      <sz val="20"/>
      <color rgb="FFF59E0B"/>
      <name val="Arial"/>
      <family val="2"/>
    </font>
    <font>
      <b/>
      <sz val="12"/>
      <color rgb="FF1E3A5F"/>
      <name val="Arial"/>
      <family val="2"/>
    </font>
    <font>
      <b/>
      <sz val="11"/>
      <color rgb="FFFFFFFF"/>
      <name val="Arial"/>
      <family val="2"/>
    </font>
    <font>
      <b/>
      <sz val="10"/>
      <color rgb="FF1E293B"/>
      <name val="Arial"/>
      <family val="2"/>
    </font>
    <font>
      <sz val="10"/>
      <color rgb="FF1E293B"/>
      <name val="Arial"/>
      <family val="2"/>
    </font>
    <font>
      <b/>
      <sz val="10"/>
      <color rgb="FFFFFFFF"/>
      <name val="Arial"/>
      <family val="2"/>
    </font>
    <font>
      <b/>
      <sz val="11"/>
      <color rgb="FF10B981"/>
      <name val="Arial"/>
      <family val="2"/>
    </font>
    <font>
      <sz val="9"/>
      <color rgb="FF64748B"/>
      <name val="Arial"/>
      <family val="2"/>
    </font>
    <font>
      <sz val="10"/>
      <color rgb="FF0000FF"/>
      <name val="Arial"/>
      <family val="2"/>
    </font>
    <font>
      <b/>
      <sz val="11"/>
      <color rgb="FFEF4444"/>
      <name val="Arial"/>
      <family val="2"/>
    </font>
    <font>
      <b/>
      <sz val="11"/>
      <color rgb="FF3B82F6"/>
      <name val="Arial"/>
      <family val="2"/>
    </font>
    <font>
      <b/>
      <sz val="11"/>
      <color rgb="FFF59E0B"/>
      <name val="Arial"/>
      <family val="2"/>
    </font>
    <font>
      <b/>
      <sz val="10"/>
      <color rgb="FFEF4444"/>
      <name val="Arial"/>
      <family val="2"/>
    </font>
    <font>
      <b/>
      <sz val="11"/>
      <color rgb="FF7C3AED"/>
      <name val="Arial"/>
      <family val="2"/>
    </font>
    <font>
      <b/>
      <sz val="10"/>
      <color rgb="FF7C3AED"/>
      <name val="Arial"/>
      <family val="2"/>
    </font>
    <font>
      <sz val="9"/>
      <color rgb="FF1E293B"/>
      <name val="Arial"/>
      <family val="2"/>
    </font>
    <font>
      <b/>
      <sz val="18"/>
      <name val="Arial"/>
      <family val="2"/>
    </font>
    <font>
      <sz val="11"/>
      <name val="Calibri"/>
      <family val="2"/>
      <charset val="1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1E293B"/>
      </patternFill>
    </fill>
    <fill>
      <patternFill patternType="solid">
        <fgColor rgb="FFECFDF5"/>
        <bgColor rgb="FFEFF6FF"/>
      </patternFill>
    </fill>
    <fill>
      <patternFill patternType="solid">
        <fgColor rgb="FF10B981"/>
        <bgColor rgb="FF4BACC6"/>
      </patternFill>
    </fill>
    <fill>
      <patternFill patternType="solid">
        <fgColor rgb="FFFEF2F2"/>
        <bgColor rgb="FFF9F9F9"/>
      </patternFill>
    </fill>
    <fill>
      <patternFill patternType="solid">
        <fgColor rgb="FFEF4444"/>
        <bgColor rgb="FFC0504D"/>
      </patternFill>
    </fill>
    <fill>
      <patternFill patternType="solid">
        <fgColor rgb="FFEFF6FF"/>
        <bgColor rgb="FFF5F3FF"/>
      </patternFill>
    </fill>
    <fill>
      <patternFill patternType="solid">
        <fgColor rgb="FF3B82F6"/>
        <bgColor rgb="FF4F81BD"/>
      </patternFill>
    </fill>
    <fill>
      <patternFill patternType="solid">
        <fgColor rgb="FFFFF9E6"/>
        <bgColor rgb="FFFEF2F2"/>
      </patternFill>
    </fill>
    <fill>
      <patternFill patternType="solid">
        <fgColor rgb="FFF5F3FF"/>
        <bgColor rgb="FFEFF6FF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1" fillId="10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18" fillId="7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/>
    <xf numFmtId="165" fontId="13" fillId="2" borderId="1" xfId="0" applyNumberFormat="1" applyFont="1" applyFill="1" applyBorder="1" applyAlignment="1">
      <alignment horizontal="center" vertical="center"/>
    </xf>
    <xf numFmtId="167" fontId="13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/>
    <xf numFmtId="0" fontId="15" fillId="0" borderId="1" xfId="0" applyFont="1" applyBorder="1"/>
    <xf numFmtId="165" fontId="16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/>
    <xf numFmtId="0" fontId="0" fillId="4" borderId="1" xfId="0" applyFill="1" applyBorder="1"/>
    <xf numFmtId="165" fontId="13" fillId="4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/>
    <xf numFmtId="0" fontId="0" fillId="6" borderId="1" xfId="0" applyFill="1" applyBorder="1"/>
    <xf numFmtId="165" fontId="13" fillId="6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/>
    <xf numFmtId="0" fontId="0" fillId="8" borderId="1" xfId="0" applyFill="1" applyBorder="1"/>
    <xf numFmtId="165" fontId="13" fillId="8" borderId="1" xfId="0" applyNumberFormat="1" applyFont="1" applyFill="1" applyBorder="1" applyAlignment="1">
      <alignment horizontal="center" vertical="center"/>
    </xf>
    <xf numFmtId="0" fontId="19" fillId="0" borderId="1" xfId="0" applyFont="1" applyBorder="1"/>
    <xf numFmtId="0" fontId="0" fillId="0" borderId="1" xfId="0" applyBorder="1"/>
    <xf numFmtId="165" fontId="19" fillId="0" borderId="1" xfId="0" applyNumberFormat="1" applyFont="1" applyBorder="1" applyAlignment="1">
      <alignment horizontal="center" vertical="center"/>
    </xf>
    <xf numFmtId="0" fontId="20" fillId="0" borderId="1" xfId="0" applyFont="1" applyBorder="1"/>
    <xf numFmtId="165" fontId="20" fillId="0" borderId="1" xfId="0" applyNumberFormat="1" applyFont="1" applyBorder="1" applyAlignment="1">
      <alignment horizontal="center" vertical="center"/>
    </xf>
    <xf numFmtId="0" fontId="22" fillId="0" borderId="1" xfId="0" applyFont="1" applyBorder="1"/>
    <xf numFmtId="0" fontId="22" fillId="0" borderId="1" xfId="0" applyFont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5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" fillId="0" borderId="0" xfId="0" applyFont="1"/>
    <xf numFmtId="0" fontId="28" fillId="0" borderId="0" xfId="0" applyFont="1"/>
  </cellXfs>
  <cellStyles count="1">
    <cellStyle name="Normal" xfId="0" builtinId="0"/>
  </cellStyles>
  <dxfs count="2">
    <dxf>
      <font>
        <b/>
        <color rgb="FF10B981"/>
      </font>
      <fill>
        <patternFill>
          <bgColor rgb="FFCCFFCC"/>
        </patternFill>
      </fill>
    </dxf>
    <dxf>
      <font>
        <b/>
        <color rgb="FFEF4444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CC7C3A"/>
      <rgbColor rgb="FF7C3AED"/>
      <rgbColor rgb="FF10B981"/>
      <rgbColor rgb="FFAABAD7"/>
      <rgbColor rgb="FF878787"/>
      <rgbColor rgb="FF8064A2"/>
      <rgbColor rgb="FF9F423F"/>
      <rgbColor rgb="FFFFF9E6"/>
      <rgbColor rgb="FFECFDF5"/>
      <rgbColor rgb="FF660066"/>
      <rgbColor rgb="FFF79646"/>
      <rgbColor rgb="FF416A9C"/>
      <rgbColor rgb="FFD0D5DD"/>
      <rgbColor rgb="FF000080"/>
      <rgbColor rgb="FFFF00FF"/>
      <rgbColor rgb="FFF5F3FF"/>
      <rgbColor rgb="FF00FFFF"/>
      <rgbColor rgb="FF800080"/>
      <rgbColor rgb="FF800000"/>
      <rgbColor rgb="FF4F81BD"/>
      <rgbColor rgb="FF0000FF"/>
      <rgbColor rgb="FF00CCFF"/>
      <rgbColor rgb="FFEFF6FF"/>
      <rgbColor rgb="FFCCFFCC"/>
      <rgbColor rgb="FFFEF2F2"/>
      <rgbColor rgb="FFC5D6AC"/>
      <rgbColor rgb="FFD8AAA9"/>
      <rgbColor rgb="FFD9D9D9"/>
      <rgbColor rgb="FFFFCCCC"/>
      <rgbColor rgb="FF3B82F6"/>
      <rgbColor rgb="FF4BACC6"/>
      <rgbColor rgb="FF9BBB59"/>
      <rgbColor rgb="FFFFCC00"/>
      <rgbColor rgb="FFF59E0B"/>
      <rgbColor rgb="FFEF4444"/>
      <rgbColor rgb="FF64748B"/>
      <rgbColor rgb="FF809B49"/>
      <rgbColor rgb="FF1E3A5F"/>
      <rgbColor rgb="FF3E8EA4"/>
      <rgbColor rgb="FF003300"/>
      <rgbColor rgb="FF333300"/>
      <rgbColor rgb="FF993300"/>
      <rgbColor rgb="FFC0504D"/>
      <rgbColor rgb="FF6A5286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Income vs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10B98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Dashboard!$B$9:$B$20</c:f>
              <c:numCache>
                <c:formatCode>\$#,##0.00</c:formatCode>
                <c:ptCount val="12"/>
                <c:pt idx="0">
                  <c:v>5600</c:v>
                </c:pt>
                <c:pt idx="1">
                  <c:v>5920</c:v>
                </c:pt>
                <c:pt idx="2">
                  <c:v>5710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B-43B2-8978-663455A3AB9B}"/>
            </c:ext>
          </c:extLst>
        </c:ser>
        <c:ser>
          <c:idx val="1"/>
          <c:order val="1"/>
          <c:tx>
            <c:strRef>
              <c:f>Dashboard!$C$8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EF44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Dashboard!$C$9:$C$20</c:f>
              <c:numCache>
                <c:formatCode>\$#,##0.00</c:formatCode>
                <c:ptCount val="12"/>
                <c:pt idx="0">
                  <c:v>3030</c:v>
                </c:pt>
                <c:pt idx="1">
                  <c:v>3190</c:v>
                </c:pt>
                <c:pt idx="2">
                  <c:v>2995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2B-43B2-8978-663455A3A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932058"/>
        <c:axId val="46004361"/>
      </c:barChart>
      <c:catAx>
        <c:axId val="479320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004361"/>
        <c:crosses val="autoZero"/>
        <c:auto val="1"/>
        <c:lblAlgn val="ctr"/>
        <c:lblOffset val="100"/>
        <c:noMultiLvlLbl val="0"/>
      </c:catAx>
      <c:valAx>
        <c:axId val="46004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9320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Net Balance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Dashboard!$E$8</c:f>
              <c:strCache>
                <c:ptCount val="1"/>
                <c:pt idx="0">
                  <c:v>Net Balance</c:v>
                </c:pt>
              </c:strCache>
            </c:strRef>
          </c:tx>
          <c:spPr>
            <a:ln w="28440">
              <a:solidFill>
                <a:srgbClr val="F59E0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Dashboard!$E$9:$E$20</c:f>
              <c:numCache>
                <c:formatCode>\$#,##0.00</c:formatCode>
                <c:ptCount val="12"/>
                <c:pt idx="0">
                  <c:v>1770</c:v>
                </c:pt>
                <c:pt idx="1">
                  <c:v>1880</c:v>
                </c:pt>
                <c:pt idx="2">
                  <c:v>1915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85-4D4B-BC15-5ACC6BD99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068801"/>
        <c:axId val="69738346"/>
      </c:lineChart>
      <c:catAx>
        <c:axId val="310688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738346"/>
        <c:crosses val="autoZero"/>
        <c:auto val="1"/>
        <c:lblAlgn val="ctr"/>
        <c:lblOffset val="100"/>
        <c:noMultiLvlLbl val="0"/>
      </c:catAx>
      <c:valAx>
        <c:axId val="697383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0688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Savings Rate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Dashboard!$F$8</c:f>
              <c:strCache>
                <c:ptCount val="1"/>
                <c:pt idx="0">
                  <c:v>Savings Rate</c:v>
                </c:pt>
              </c:strCache>
            </c:strRef>
          </c:tx>
          <c:spPr>
            <a:ln w="28440">
              <a:solidFill>
                <a:srgbClr val="3B82F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Dashboard!$F$9:$F$20</c:f>
              <c:numCache>
                <c:formatCode>0.0%</c:formatCode>
                <c:ptCount val="12"/>
                <c:pt idx="0">
                  <c:v>0.14285714285714285</c:v>
                </c:pt>
                <c:pt idx="1">
                  <c:v>0.14358108108108109</c:v>
                </c:pt>
                <c:pt idx="2">
                  <c:v>0.14010507880910683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D2-4894-835D-9C71C44A5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711809"/>
        <c:axId val="16675936"/>
      </c:lineChart>
      <c:catAx>
        <c:axId val="987118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675936"/>
        <c:crosses val="autoZero"/>
        <c:auto val="1"/>
        <c:lblAlgn val="ctr"/>
        <c:lblOffset val="100"/>
        <c:noMultiLvlLbl val="0"/>
      </c:catAx>
      <c:valAx>
        <c:axId val="16675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7118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Where Your Money Goes (Annual)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16A9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3C9-4FD5-97FE-6FC5A3AEFCCB}"/>
              </c:ext>
            </c:extLst>
          </c:dPt>
          <c:dPt>
            <c:idx val="1"/>
            <c:bubble3D val="0"/>
            <c:spPr>
              <a:solidFill>
                <a:srgbClr val="9F42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3C9-4FD5-97FE-6FC5A3AEFCCB}"/>
              </c:ext>
            </c:extLst>
          </c:dPt>
          <c:dPt>
            <c:idx val="2"/>
            <c:bubble3D val="0"/>
            <c:spPr>
              <a:solidFill>
                <a:srgbClr val="809B4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3C9-4FD5-97FE-6FC5A3AEFCCB}"/>
              </c:ext>
            </c:extLst>
          </c:dPt>
          <c:dPt>
            <c:idx val="3"/>
            <c:bubble3D val="0"/>
            <c:spPr>
              <a:solidFill>
                <a:srgbClr val="6A52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3C9-4FD5-97FE-6FC5A3AEFCCB}"/>
              </c:ext>
            </c:extLst>
          </c:dPt>
          <c:dPt>
            <c:idx val="4"/>
            <c:bubble3D val="0"/>
            <c:spPr>
              <a:solidFill>
                <a:srgbClr val="3E8E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3C9-4FD5-97FE-6FC5A3AEFCCB}"/>
              </c:ext>
            </c:extLst>
          </c:dPt>
          <c:dPt>
            <c:idx val="5"/>
            <c:bubble3D val="0"/>
            <c:spPr>
              <a:solidFill>
                <a:srgbClr val="CC7C3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53C9-4FD5-97FE-6FC5A3AEFCCB}"/>
              </c:ext>
            </c:extLst>
          </c:dPt>
          <c:dPt>
            <c:idx val="6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53C9-4FD5-97FE-6FC5A3AEFCCB}"/>
              </c:ext>
            </c:extLst>
          </c:dPt>
          <c:dPt>
            <c:idx val="7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53C9-4FD5-97FE-6FC5A3AEFCCB}"/>
              </c:ext>
            </c:extLst>
          </c:dPt>
          <c:dPt>
            <c:idx val="8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53C9-4FD5-97FE-6FC5A3AEFCCB}"/>
              </c:ext>
            </c:extLst>
          </c:dPt>
          <c:dPt>
            <c:idx val="9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53C9-4FD5-97FE-6FC5A3AEFCCB}"/>
              </c:ext>
            </c:extLst>
          </c:dPt>
          <c:dPt>
            <c:idx val="10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53C9-4FD5-97FE-6FC5A3AEFCCB}"/>
              </c:ext>
            </c:extLst>
          </c:dPt>
          <c:dPt>
            <c:idx val="11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53C9-4FD5-97FE-6FC5A3AEFCCB}"/>
              </c:ext>
            </c:extLst>
          </c:dPt>
          <c:dPt>
            <c:idx val="12"/>
            <c:bubble3D val="0"/>
            <c:spPr>
              <a:solidFill>
                <a:srgbClr val="AABAD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53C9-4FD5-97FE-6FC5A3AEFCCB}"/>
              </c:ext>
            </c:extLst>
          </c:dPt>
          <c:dPt>
            <c:idx val="13"/>
            <c:bubble3D val="0"/>
            <c:spPr>
              <a:solidFill>
                <a:srgbClr val="D8AAA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53C9-4FD5-97FE-6FC5A3AEFCCB}"/>
              </c:ext>
            </c:extLst>
          </c:dPt>
          <c:dPt>
            <c:idx val="14"/>
            <c:bubble3D val="0"/>
            <c:spPr>
              <a:solidFill>
                <a:srgbClr val="C5D6A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53C9-4FD5-97FE-6FC5A3AEFCC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3C9-4FD5-97FE-6FC5A3AEFCC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3C9-4FD5-97FE-6FC5A3AEFCC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3C9-4FD5-97FE-6FC5A3AEFCC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3C9-4FD5-97FE-6FC5A3AEFCC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3C9-4FD5-97FE-6FC5A3AEFCC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53C9-4FD5-97FE-6FC5A3AEFCC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53C9-4FD5-97FE-6FC5A3AEFCCB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53C9-4FD5-97FE-6FC5A3AEFCCB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53C9-4FD5-97FE-6FC5A3AEFCC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53C9-4FD5-97FE-6FC5A3AEFCCB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53C9-4FD5-97FE-6FC5A3AEFCCB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53C9-4FD5-97FE-6FC5A3AEFCCB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53C9-4FD5-97FE-6FC5A3AEFCCB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53C9-4FD5-97FE-6FC5A3AEFCCB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53C9-4FD5-97FE-6FC5A3AEFC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'Spending Insights'!$A$24:$A$38</c:f>
              <c:strCache>
                <c:ptCount val="15"/>
                <c:pt idx="0">
                  <c:v>Housing/Rent</c:v>
                </c:pt>
                <c:pt idx="1">
                  <c:v>Utilities (Electric, Water, Gas)</c:v>
                </c:pt>
                <c:pt idx="2">
                  <c:v>Groceries</c:v>
                </c:pt>
                <c:pt idx="3">
                  <c:v>Transportation/Gas</c:v>
                </c:pt>
                <c:pt idx="4">
                  <c:v>Insurance (Health, Car, Home)</c:v>
                </c:pt>
                <c:pt idx="5">
                  <c:v>Phone/Internet</c:v>
                </c:pt>
                <c:pt idx="6">
                  <c:v>Dining Out/Restaurants</c:v>
                </c:pt>
                <c:pt idx="7">
                  <c:v>Entertainment/Subscriptions</c:v>
                </c:pt>
                <c:pt idx="8">
                  <c:v>Clothing/Personal Care</c:v>
                </c:pt>
                <c:pt idx="9">
                  <c:v>Medical/Healthcare</c:v>
                </c:pt>
                <c:pt idx="10">
                  <c:v>Education/Learning</c:v>
                </c:pt>
                <c:pt idx="11">
                  <c:v>Childcare/Family</c:v>
                </c:pt>
                <c:pt idx="12">
                  <c:v>Home Maintenance</c:v>
                </c:pt>
                <c:pt idx="13">
                  <c:v>Gifts/Donations</c:v>
                </c:pt>
                <c:pt idx="14">
                  <c:v>Miscellaneous</c:v>
                </c:pt>
              </c:strCache>
            </c:strRef>
          </c:cat>
          <c:val>
            <c:numRef>
              <c:f>'Spending Insights'!$B$24:$B$38</c:f>
              <c:numCache>
                <c:formatCode>\$#,##0.00</c:formatCode>
                <c:ptCount val="15"/>
                <c:pt idx="0">
                  <c:v>4500</c:v>
                </c:pt>
                <c:pt idx="1">
                  <c:v>610</c:v>
                </c:pt>
                <c:pt idx="2">
                  <c:v>1230</c:v>
                </c:pt>
                <c:pt idx="3">
                  <c:v>450</c:v>
                </c:pt>
                <c:pt idx="4">
                  <c:v>900</c:v>
                </c:pt>
                <c:pt idx="5">
                  <c:v>360</c:v>
                </c:pt>
                <c:pt idx="6">
                  <c:v>630</c:v>
                </c:pt>
                <c:pt idx="7">
                  <c:v>245</c:v>
                </c:pt>
                <c:pt idx="8">
                  <c:v>210</c:v>
                </c:pt>
                <c:pt idx="9">
                  <c:v>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3C9-4FD5-97FE-6FC5A3AEF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171720</xdr:rowOff>
    </xdr:from>
    <xdr:to>
      <xdr:col>7</xdr:col>
      <xdr:colOff>447840</xdr:colOff>
      <xdr:row>47</xdr:row>
      <xdr:rowOff>67320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171360</xdr:rowOff>
    </xdr:from>
    <xdr:to>
      <xdr:col>7</xdr:col>
      <xdr:colOff>447840</xdr:colOff>
      <xdr:row>62</xdr:row>
      <xdr:rowOff>67320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20</xdr:row>
      <xdr:rowOff>171720</xdr:rowOff>
    </xdr:from>
    <xdr:to>
      <xdr:col>15</xdr:col>
      <xdr:colOff>24840</xdr:colOff>
      <xdr:row>47</xdr:row>
      <xdr:rowOff>67320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684069</xdr:colOff>
      <xdr:row>24</xdr:row>
      <xdr:rowOff>100145</xdr:rowOff>
    </xdr:from>
    <xdr:to>
      <xdr:col>13</xdr:col>
      <xdr:colOff>978072</xdr:colOff>
      <xdr:row>41</xdr:row>
      <xdr:rowOff>30467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B82F6"/>
  </sheetPr>
  <dimension ref="A1:N21"/>
  <sheetViews>
    <sheetView zoomScaleNormal="100" workbookViewId="0">
      <selection sqref="A1:N1"/>
    </sheetView>
  </sheetViews>
  <sheetFormatPr defaultColWidth="8.6328125" defaultRowHeight="14.5" x14ac:dyDescent="0.35"/>
  <cols>
    <col min="1" max="1" width="22" customWidth="1"/>
    <col min="2" max="15" width="14" customWidth="1"/>
  </cols>
  <sheetData>
    <row r="1" spans="1:14" ht="21.75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" customHeight="1" x14ac:dyDescent="0.3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15" customHeight="1" x14ac:dyDescent="0.35">
      <c r="A4" s="10" t="s">
        <v>2</v>
      </c>
      <c r="B4" s="10"/>
      <c r="E4" s="10" t="s">
        <v>3</v>
      </c>
      <c r="F4" s="10"/>
      <c r="H4" s="10" t="s">
        <v>4</v>
      </c>
      <c r="I4" s="10"/>
      <c r="K4" s="10" t="s">
        <v>5</v>
      </c>
      <c r="L4" s="10"/>
    </row>
    <row r="5" spans="1:14" ht="24" customHeight="1" x14ac:dyDescent="0.5">
      <c r="A5" s="9">
        <f>'Monthly Tracker'!O11</f>
        <v>17230</v>
      </c>
      <c r="B5" s="9"/>
      <c r="D5" s="13">
        <f>'Monthly Tracker'!O28</f>
        <v>9215</v>
      </c>
      <c r="E5" s="8">
        <f>'Monthly Tracker'!O22</f>
        <v>80</v>
      </c>
      <c r="F5" s="8"/>
      <c r="G5" s="13">
        <f>'Monthly Tracker'!O35</f>
        <v>2450</v>
      </c>
      <c r="H5" s="7">
        <f>'Monthly Tracker'!O28</f>
        <v>9215</v>
      </c>
      <c r="I5" s="7"/>
      <c r="J5" s="14">
        <f>'Monthly Tracker'!O11-'Monthly Tracker'!O28-'Monthly Tracker'!O35</f>
        <v>5565</v>
      </c>
      <c r="K5" s="6">
        <f>'Monthly Tracker'!O6-'Monthly Tracker'!O22-'Monthly Tracker'!O28</f>
        <v>5705</v>
      </c>
      <c r="L5" s="6"/>
    </row>
    <row r="7" spans="1:14" ht="15" customHeight="1" x14ac:dyDescent="0.35">
      <c r="A7" s="15" t="s">
        <v>6</v>
      </c>
    </row>
    <row r="8" spans="1:14" ht="15" customHeight="1" x14ac:dyDescent="0.35">
      <c r="A8" s="16" t="s">
        <v>7</v>
      </c>
      <c r="B8" s="16" t="s">
        <v>8</v>
      </c>
      <c r="C8" s="16" t="s">
        <v>9</v>
      </c>
      <c r="D8" s="16" t="s">
        <v>10</v>
      </c>
      <c r="E8" s="16" t="s">
        <v>11</v>
      </c>
      <c r="F8" s="16" t="s">
        <v>12</v>
      </c>
    </row>
    <row r="9" spans="1:14" ht="15" customHeight="1" x14ac:dyDescent="0.35">
      <c r="A9" s="17" t="s">
        <v>13</v>
      </c>
      <c r="B9" s="18">
        <f>'Monthly Tracker'!C11</f>
        <v>5600</v>
      </c>
      <c r="C9" s="18">
        <f>'Monthly Tracker'!C28</f>
        <v>3030</v>
      </c>
      <c r="D9" s="18">
        <f>'Monthly Tracker'!C35</f>
        <v>800</v>
      </c>
      <c r="E9" s="19">
        <f t="shared" ref="E9:E20" si="0">B9-C9-D9</f>
        <v>1770</v>
      </c>
      <c r="F9" s="20">
        <f t="shared" ref="F9:F20" si="1">IF(B9=0,0,D9/B9)</f>
        <v>0.14285714285714285</v>
      </c>
    </row>
    <row r="10" spans="1:14" ht="15" customHeight="1" x14ac:dyDescent="0.35">
      <c r="A10" s="17" t="s">
        <v>14</v>
      </c>
      <c r="B10" s="18">
        <f>'Monthly Tracker'!D11</f>
        <v>5920</v>
      </c>
      <c r="C10" s="18">
        <f>'Monthly Tracker'!D28</f>
        <v>3190</v>
      </c>
      <c r="D10" s="18">
        <f>'Monthly Tracker'!D35</f>
        <v>850</v>
      </c>
      <c r="E10" s="19">
        <f t="shared" si="0"/>
        <v>1880</v>
      </c>
      <c r="F10" s="20">
        <f t="shared" si="1"/>
        <v>0.14358108108108109</v>
      </c>
    </row>
    <row r="11" spans="1:14" ht="15" customHeight="1" x14ac:dyDescent="0.35">
      <c r="A11" s="17" t="s">
        <v>15</v>
      </c>
      <c r="B11" s="18">
        <f>'Monthly Tracker'!E11</f>
        <v>5710</v>
      </c>
      <c r="C11" s="18">
        <f>'Monthly Tracker'!E28</f>
        <v>2995</v>
      </c>
      <c r="D11" s="18">
        <f>'Monthly Tracker'!E35</f>
        <v>800</v>
      </c>
      <c r="E11" s="19">
        <f t="shared" si="0"/>
        <v>1915</v>
      </c>
      <c r="F11" s="20">
        <f t="shared" si="1"/>
        <v>0.14010507880910683</v>
      </c>
    </row>
    <row r="12" spans="1:14" ht="15" customHeight="1" x14ac:dyDescent="0.35">
      <c r="A12" s="17" t="s">
        <v>16</v>
      </c>
      <c r="B12" s="18">
        <f>'Monthly Tracker'!F11</f>
        <v>0</v>
      </c>
      <c r="C12" s="18">
        <f>'Monthly Tracker'!F28</f>
        <v>0</v>
      </c>
      <c r="D12" s="18">
        <f>'Monthly Tracker'!F35</f>
        <v>0</v>
      </c>
      <c r="E12" s="19">
        <f t="shared" si="0"/>
        <v>0</v>
      </c>
      <c r="F12" s="20">
        <f t="shared" si="1"/>
        <v>0</v>
      </c>
    </row>
    <row r="13" spans="1:14" ht="15" customHeight="1" x14ac:dyDescent="0.35">
      <c r="A13" s="17" t="s">
        <v>17</v>
      </c>
      <c r="B13" s="18">
        <f>'Monthly Tracker'!G11</f>
        <v>0</v>
      </c>
      <c r="C13" s="18">
        <f>'Monthly Tracker'!G28</f>
        <v>0</v>
      </c>
      <c r="D13" s="18">
        <f>'Monthly Tracker'!G35</f>
        <v>0</v>
      </c>
      <c r="E13" s="19">
        <f t="shared" si="0"/>
        <v>0</v>
      </c>
      <c r="F13" s="20">
        <f t="shared" si="1"/>
        <v>0</v>
      </c>
    </row>
    <row r="14" spans="1:14" ht="15" customHeight="1" x14ac:dyDescent="0.35">
      <c r="A14" s="17" t="s">
        <v>18</v>
      </c>
      <c r="B14" s="18">
        <f>'Monthly Tracker'!H11</f>
        <v>0</v>
      </c>
      <c r="C14" s="18">
        <f>'Monthly Tracker'!H28</f>
        <v>0</v>
      </c>
      <c r="D14" s="18">
        <f>'Monthly Tracker'!H35</f>
        <v>0</v>
      </c>
      <c r="E14" s="19">
        <f t="shared" si="0"/>
        <v>0</v>
      </c>
      <c r="F14" s="20">
        <f t="shared" si="1"/>
        <v>0</v>
      </c>
    </row>
    <row r="15" spans="1:14" ht="15" customHeight="1" x14ac:dyDescent="0.35">
      <c r="A15" s="17" t="s">
        <v>19</v>
      </c>
      <c r="B15" s="18">
        <f>'Monthly Tracker'!I11</f>
        <v>0</v>
      </c>
      <c r="C15" s="18">
        <f>'Monthly Tracker'!I28</f>
        <v>0</v>
      </c>
      <c r="D15" s="18">
        <f>'Monthly Tracker'!I35</f>
        <v>0</v>
      </c>
      <c r="E15" s="19">
        <f t="shared" si="0"/>
        <v>0</v>
      </c>
      <c r="F15" s="20">
        <f t="shared" si="1"/>
        <v>0</v>
      </c>
    </row>
    <row r="16" spans="1:14" ht="15" customHeight="1" x14ac:dyDescent="0.35">
      <c r="A16" s="17" t="s">
        <v>20</v>
      </c>
      <c r="B16" s="18">
        <f>'Monthly Tracker'!J11</f>
        <v>0</v>
      </c>
      <c r="C16" s="18">
        <f>'Monthly Tracker'!J28</f>
        <v>0</v>
      </c>
      <c r="D16" s="18">
        <f>'Monthly Tracker'!J35</f>
        <v>0</v>
      </c>
      <c r="E16" s="19">
        <f t="shared" si="0"/>
        <v>0</v>
      </c>
      <c r="F16" s="20">
        <f t="shared" si="1"/>
        <v>0</v>
      </c>
    </row>
    <row r="17" spans="1:6" ht="15" customHeight="1" x14ac:dyDescent="0.35">
      <c r="A17" s="17" t="s">
        <v>21</v>
      </c>
      <c r="B17" s="18">
        <f>'Monthly Tracker'!K11</f>
        <v>0</v>
      </c>
      <c r="C17" s="18">
        <f>'Monthly Tracker'!K28</f>
        <v>0</v>
      </c>
      <c r="D17" s="18">
        <f>'Monthly Tracker'!K35</f>
        <v>0</v>
      </c>
      <c r="E17" s="19">
        <f t="shared" si="0"/>
        <v>0</v>
      </c>
      <c r="F17" s="20">
        <f t="shared" si="1"/>
        <v>0</v>
      </c>
    </row>
    <row r="18" spans="1:6" ht="15" customHeight="1" x14ac:dyDescent="0.35">
      <c r="A18" s="17" t="s">
        <v>22</v>
      </c>
      <c r="B18" s="18">
        <f>'Monthly Tracker'!L11</f>
        <v>0</v>
      </c>
      <c r="C18" s="18">
        <f>'Monthly Tracker'!L28</f>
        <v>0</v>
      </c>
      <c r="D18" s="18">
        <f>'Monthly Tracker'!L35</f>
        <v>0</v>
      </c>
      <c r="E18" s="19">
        <f t="shared" si="0"/>
        <v>0</v>
      </c>
      <c r="F18" s="20">
        <f t="shared" si="1"/>
        <v>0</v>
      </c>
    </row>
    <row r="19" spans="1:6" ht="15" customHeight="1" x14ac:dyDescent="0.35">
      <c r="A19" s="17" t="s">
        <v>23</v>
      </c>
      <c r="B19" s="18">
        <f>'Monthly Tracker'!M11</f>
        <v>0</v>
      </c>
      <c r="C19" s="18">
        <f>'Monthly Tracker'!M28</f>
        <v>0</v>
      </c>
      <c r="D19" s="18">
        <f>'Monthly Tracker'!M35</f>
        <v>0</v>
      </c>
      <c r="E19" s="19">
        <f t="shared" si="0"/>
        <v>0</v>
      </c>
      <c r="F19" s="20">
        <f t="shared" si="1"/>
        <v>0</v>
      </c>
    </row>
    <row r="20" spans="1:6" ht="15" customHeight="1" x14ac:dyDescent="0.35">
      <c r="A20" s="17" t="s">
        <v>24</v>
      </c>
      <c r="B20" s="18">
        <f>'Monthly Tracker'!N11</f>
        <v>0</v>
      </c>
      <c r="C20" s="18">
        <f>'Monthly Tracker'!N28</f>
        <v>0</v>
      </c>
      <c r="D20" s="18">
        <f>'Monthly Tracker'!N35</f>
        <v>0</v>
      </c>
      <c r="E20" s="19">
        <f t="shared" si="0"/>
        <v>0</v>
      </c>
      <c r="F20" s="20">
        <f t="shared" si="1"/>
        <v>0</v>
      </c>
    </row>
    <row r="21" spans="1:6" ht="15" customHeight="1" x14ac:dyDescent="0.35">
      <c r="A21" s="21" t="s">
        <v>25</v>
      </c>
      <c r="B21" s="22">
        <f>SUM(B9:B20)</f>
        <v>17230</v>
      </c>
      <c r="C21" s="22">
        <f>SUM(C9:C20)</f>
        <v>9215</v>
      </c>
      <c r="D21" s="22">
        <f>SUM(D9:D20)</f>
        <v>2450</v>
      </c>
      <c r="E21" s="22">
        <f>SUM(E9:E20)</f>
        <v>5565</v>
      </c>
      <c r="F21" s="23">
        <f>SUM(F9:F20)</f>
        <v>0.42654330274733077</v>
      </c>
    </row>
  </sheetData>
  <mergeCells count="10">
    <mergeCell ref="A5:B5"/>
    <mergeCell ref="E5:F5"/>
    <mergeCell ref="H5:I5"/>
    <mergeCell ref="K5:L5"/>
    <mergeCell ref="A1:N1"/>
    <mergeCell ref="A2:N2"/>
    <mergeCell ref="A4:B4"/>
    <mergeCell ref="E4:F4"/>
    <mergeCell ref="H4:I4"/>
    <mergeCell ref="K4:L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B981"/>
  </sheetPr>
  <dimension ref="A1:O37"/>
  <sheetViews>
    <sheetView zoomScaleNormal="100" workbookViewId="0">
      <selection sqref="A1:O1"/>
    </sheetView>
  </sheetViews>
  <sheetFormatPr defaultColWidth="8.6328125" defaultRowHeight="14.5" x14ac:dyDescent="0.35"/>
  <cols>
    <col min="1" max="1" width="24" customWidth="1"/>
    <col min="2" max="2" width="14" customWidth="1"/>
    <col min="3" max="15" width="12" customWidth="1"/>
  </cols>
  <sheetData>
    <row r="1" spans="1:15" ht="21.75" customHeight="1" x14ac:dyDescent="0.35">
      <c r="A1" s="12" t="s">
        <v>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5" customHeight="1" x14ac:dyDescent="0.35">
      <c r="A2" s="11" t="s">
        <v>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1:15" ht="26.25" customHeight="1" x14ac:dyDescent="0.35">
      <c r="A4" s="16" t="s">
        <v>28</v>
      </c>
      <c r="B4" s="16" t="s">
        <v>29</v>
      </c>
      <c r="C4" s="16" t="s">
        <v>13</v>
      </c>
      <c r="D4" s="16" t="s">
        <v>14</v>
      </c>
      <c r="E4" s="16" t="s">
        <v>15</v>
      </c>
      <c r="F4" s="16" t="s">
        <v>16</v>
      </c>
      <c r="G4" s="16" t="s">
        <v>17</v>
      </c>
      <c r="H4" s="16" t="s">
        <v>18</v>
      </c>
      <c r="I4" s="16" t="s">
        <v>19</v>
      </c>
      <c r="J4" s="16" t="s">
        <v>20</v>
      </c>
      <c r="K4" s="16" t="s">
        <v>21</v>
      </c>
      <c r="L4" s="16" t="s">
        <v>22</v>
      </c>
      <c r="M4" s="16" t="s">
        <v>23</v>
      </c>
      <c r="N4" s="16" t="s">
        <v>24</v>
      </c>
      <c r="O4" s="16" t="s">
        <v>25</v>
      </c>
    </row>
    <row r="5" spans="1:15" ht="15" customHeight="1" x14ac:dyDescent="0.35">
      <c r="A5" s="5" t="s">
        <v>30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5" customHeight="1" x14ac:dyDescent="0.35">
      <c r="A6" s="24" t="s">
        <v>31</v>
      </c>
      <c r="B6" s="25" t="s">
        <v>8</v>
      </c>
      <c r="C6" s="26">
        <v>5000</v>
      </c>
      <c r="D6" s="26">
        <v>5000</v>
      </c>
      <c r="E6" s="26">
        <v>5000</v>
      </c>
      <c r="F6" s="26"/>
      <c r="G6" s="26"/>
      <c r="H6" s="26"/>
      <c r="I6" s="26"/>
      <c r="J6" s="26"/>
      <c r="K6" s="26"/>
      <c r="L6" s="26"/>
      <c r="M6" s="26"/>
      <c r="N6" s="26"/>
      <c r="O6" s="19">
        <f>SUM(C6:N6)</f>
        <v>15000</v>
      </c>
    </row>
    <row r="7" spans="1:15" ht="15" customHeight="1" x14ac:dyDescent="0.35">
      <c r="A7" s="24" t="s">
        <v>32</v>
      </c>
      <c r="B7" s="25" t="s">
        <v>8</v>
      </c>
      <c r="C7" s="26">
        <v>500</v>
      </c>
      <c r="D7" s="26">
        <v>800</v>
      </c>
      <c r="E7" s="26">
        <v>600</v>
      </c>
      <c r="F7" s="26"/>
      <c r="G7" s="26"/>
      <c r="H7" s="26"/>
      <c r="I7" s="26"/>
      <c r="J7" s="26"/>
      <c r="K7" s="26"/>
      <c r="L7" s="26"/>
      <c r="M7" s="26"/>
      <c r="N7" s="26"/>
      <c r="O7" s="19">
        <f>SUM(C7:N7)</f>
        <v>1900</v>
      </c>
    </row>
    <row r="8" spans="1:15" ht="15" customHeight="1" x14ac:dyDescent="0.35">
      <c r="A8" s="24" t="s">
        <v>33</v>
      </c>
      <c r="B8" s="25" t="s">
        <v>8</v>
      </c>
      <c r="C8" s="26">
        <v>100</v>
      </c>
      <c r="D8" s="26">
        <v>120</v>
      </c>
      <c r="E8" s="26">
        <v>110</v>
      </c>
      <c r="F8" s="26"/>
      <c r="G8" s="26"/>
      <c r="H8" s="26"/>
      <c r="I8" s="26"/>
      <c r="J8" s="26"/>
      <c r="K8" s="26"/>
      <c r="L8" s="26"/>
      <c r="M8" s="26"/>
      <c r="N8" s="26"/>
      <c r="O8" s="19">
        <f>SUM(C8:N8)</f>
        <v>330</v>
      </c>
    </row>
    <row r="9" spans="1:15" ht="15" customHeight="1" x14ac:dyDescent="0.35">
      <c r="A9" s="24" t="s">
        <v>34</v>
      </c>
      <c r="B9" s="25" t="s">
        <v>8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19">
        <f>SUM(C9:N9)</f>
        <v>0</v>
      </c>
    </row>
    <row r="10" spans="1:15" ht="15" customHeight="1" x14ac:dyDescent="0.35">
      <c r="A10" s="24" t="s">
        <v>35</v>
      </c>
      <c r="B10" s="25" t="s">
        <v>8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19">
        <f>SUM(C10:N10)</f>
        <v>0</v>
      </c>
    </row>
    <row r="11" spans="1:15" ht="15" customHeight="1" x14ac:dyDescent="0.35">
      <c r="A11" s="27" t="s">
        <v>2</v>
      </c>
      <c r="B11" s="28"/>
      <c r="C11" s="29">
        <f t="shared" ref="C11:O11" si="0">SUM(C6:C10)</f>
        <v>5600</v>
      </c>
      <c r="D11" s="29">
        <f t="shared" si="0"/>
        <v>5920</v>
      </c>
      <c r="E11" s="29">
        <f t="shared" si="0"/>
        <v>5710</v>
      </c>
      <c r="F11" s="29">
        <f t="shared" si="0"/>
        <v>0</v>
      </c>
      <c r="G11" s="29">
        <f t="shared" si="0"/>
        <v>0</v>
      </c>
      <c r="H11" s="29">
        <f t="shared" si="0"/>
        <v>0</v>
      </c>
      <c r="I11" s="29">
        <f t="shared" si="0"/>
        <v>0</v>
      </c>
      <c r="J11" s="29">
        <f t="shared" si="0"/>
        <v>0</v>
      </c>
      <c r="K11" s="29">
        <f t="shared" si="0"/>
        <v>0</v>
      </c>
      <c r="L11" s="29">
        <f t="shared" si="0"/>
        <v>0</v>
      </c>
      <c r="M11" s="29">
        <f t="shared" si="0"/>
        <v>0</v>
      </c>
      <c r="N11" s="29">
        <f t="shared" si="0"/>
        <v>0</v>
      </c>
      <c r="O11" s="29">
        <f t="shared" si="0"/>
        <v>17230</v>
      </c>
    </row>
    <row r="12" spans="1:15" ht="15" customHeight="1" x14ac:dyDescent="0.35">
      <c r="A12" s="4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15" customHeight="1" x14ac:dyDescent="0.35">
      <c r="A13" s="24" t="s">
        <v>37</v>
      </c>
      <c r="B13" s="25" t="s">
        <v>38</v>
      </c>
      <c r="C13" s="26">
        <v>1500</v>
      </c>
      <c r="D13" s="26">
        <v>1500</v>
      </c>
      <c r="E13" s="26">
        <v>1500</v>
      </c>
      <c r="F13" s="26"/>
      <c r="G13" s="26"/>
      <c r="H13" s="26"/>
      <c r="I13" s="26"/>
      <c r="J13" s="26"/>
      <c r="K13" s="26"/>
      <c r="L13" s="26"/>
      <c r="M13" s="26"/>
      <c r="N13" s="26"/>
      <c r="O13" s="19">
        <f t="shared" ref="O13:O27" si="1">SUM(C13:N13)</f>
        <v>4500</v>
      </c>
    </row>
    <row r="14" spans="1:15" ht="15" customHeight="1" x14ac:dyDescent="0.35">
      <c r="A14" s="24" t="s">
        <v>39</v>
      </c>
      <c r="B14" s="25" t="s">
        <v>38</v>
      </c>
      <c r="C14" s="26">
        <v>200</v>
      </c>
      <c r="D14" s="26">
        <v>220</v>
      </c>
      <c r="E14" s="26">
        <v>190</v>
      </c>
      <c r="F14" s="26"/>
      <c r="G14" s="26"/>
      <c r="H14" s="26"/>
      <c r="I14" s="26"/>
      <c r="J14" s="26"/>
      <c r="K14" s="26"/>
      <c r="L14" s="26"/>
      <c r="M14" s="26"/>
      <c r="N14" s="26"/>
      <c r="O14" s="19">
        <f t="shared" si="1"/>
        <v>610</v>
      </c>
    </row>
    <row r="15" spans="1:15" ht="15" customHeight="1" x14ac:dyDescent="0.35">
      <c r="A15" s="24" t="s">
        <v>40</v>
      </c>
      <c r="B15" s="25" t="s">
        <v>38</v>
      </c>
      <c r="C15" s="26">
        <v>400</v>
      </c>
      <c r="D15" s="26">
        <v>450</v>
      </c>
      <c r="E15" s="26">
        <v>380</v>
      </c>
      <c r="F15" s="26"/>
      <c r="G15" s="26"/>
      <c r="H15" s="26"/>
      <c r="I15" s="26"/>
      <c r="J15" s="26"/>
      <c r="K15" s="26"/>
      <c r="L15" s="26"/>
      <c r="M15" s="26"/>
      <c r="N15" s="26"/>
      <c r="O15" s="19">
        <f t="shared" si="1"/>
        <v>1230</v>
      </c>
    </row>
    <row r="16" spans="1:15" ht="15" customHeight="1" x14ac:dyDescent="0.35">
      <c r="A16" s="24" t="s">
        <v>41</v>
      </c>
      <c r="B16" s="25" t="s">
        <v>38</v>
      </c>
      <c r="C16" s="26">
        <v>150</v>
      </c>
      <c r="D16" s="26">
        <v>160</v>
      </c>
      <c r="E16" s="26">
        <v>140</v>
      </c>
      <c r="F16" s="26"/>
      <c r="G16" s="26"/>
      <c r="H16" s="26"/>
      <c r="I16" s="26"/>
      <c r="J16" s="26"/>
      <c r="K16" s="26"/>
      <c r="L16" s="26"/>
      <c r="M16" s="26"/>
      <c r="N16" s="26"/>
      <c r="O16" s="19">
        <f t="shared" si="1"/>
        <v>450</v>
      </c>
    </row>
    <row r="17" spans="1:15" ht="15" customHeight="1" x14ac:dyDescent="0.35">
      <c r="A17" s="24" t="s">
        <v>42</v>
      </c>
      <c r="B17" s="25" t="s">
        <v>38</v>
      </c>
      <c r="C17" s="26">
        <v>300</v>
      </c>
      <c r="D17" s="26">
        <v>300</v>
      </c>
      <c r="E17" s="26">
        <v>300</v>
      </c>
      <c r="F17" s="26"/>
      <c r="G17" s="26"/>
      <c r="H17" s="26"/>
      <c r="I17" s="26"/>
      <c r="J17" s="26"/>
      <c r="K17" s="26"/>
      <c r="L17" s="26"/>
      <c r="M17" s="26"/>
      <c r="N17" s="26"/>
      <c r="O17" s="19">
        <f t="shared" si="1"/>
        <v>900</v>
      </c>
    </row>
    <row r="18" spans="1:15" ht="15" customHeight="1" x14ac:dyDescent="0.35">
      <c r="A18" s="24" t="s">
        <v>43</v>
      </c>
      <c r="B18" s="25" t="s">
        <v>38</v>
      </c>
      <c r="C18" s="26">
        <v>120</v>
      </c>
      <c r="D18" s="26">
        <v>120</v>
      </c>
      <c r="E18" s="26">
        <v>120</v>
      </c>
      <c r="F18" s="26"/>
      <c r="G18" s="26"/>
      <c r="H18" s="26"/>
      <c r="I18" s="26"/>
      <c r="J18" s="26"/>
      <c r="K18" s="26"/>
      <c r="L18" s="26"/>
      <c r="M18" s="26"/>
      <c r="N18" s="26"/>
      <c r="O18" s="19">
        <f t="shared" si="1"/>
        <v>360</v>
      </c>
    </row>
    <row r="19" spans="1:15" ht="15" customHeight="1" x14ac:dyDescent="0.35">
      <c r="A19" s="24" t="s">
        <v>44</v>
      </c>
      <c r="B19" s="25" t="s">
        <v>38</v>
      </c>
      <c r="C19" s="26">
        <v>200</v>
      </c>
      <c r="D19" s="26">
        <v>250</v>
      </c>
      <c r="E19" s="26">
        <v>180</v>
      </c>
      <c r="F19" s="26"/>
      <c r="G19" s="26"/>
      <c r="H19" s="26"/>
      <c r="I19" s="26"/>
      <c r="J19" s="26"/>
      <c r="K19" s="26"/>
      <c r="L19" s="26"/>
      <c r="M19" s="26"/>
      <c r="N19" s="26"/>
      <c r="O19" s="19">
        <f t="shared" si="1"/>
        <v>630</v>
      </c>
    </row>
    <row r="20" spans="1:15" ht="15" customHeight="1" x14ac:dyDescent="0.35">
      <c r="A20" s="24" t="s">
        <v>45</v>
      </c>
      <c r="B20" s="25" t="s">
        <v>38</v>
      </c>
      <c r="C20" s="26">
        <v>80</v>
      </c>
      <c r="D20" s="26">
        <v>90</v>
      </c>
      <c r="E20" s="26">
        <v>75</v>
      </c>
      <c r="F20" s="26"/>
      <c r="G20" s="26"/>
      <c r="H20" s="26"/>
      <c r="I20" s="26"/>
      <c r="J20" s="26"/>
      <c r="K20" s="26"/>
      <c r="L20" s="26"/>
      <c r="M20" s="26"/>
      <c r="N20" s="26"/>
      <c r="O20" s="19">
        <f t="shared" si="1"/>
        <v>245</v>
      </c>
    </row>
    <row r="21" spans="1:15" ht="15" customHeight="1" x14ac:dyDescent="0.35">
      <c r="A21" s="24" t="s">
        <v>46</v>
      </c>
      <c r="B21" s="25" t="s">
        <v>38</v>
      </c>
      <c r="C21" s="26">
        <v>50</v>
      </c>
      <c r="D21" s="26">
        <v>100</v>
      </c>
      <c r="E21" s="26">
        <v>60</v>
      </c>
      <c r="F21" s="26"/>
      <c r="G21" s="26"/>
      <c r="H21" s="26"/>
      <c r="I21" s="26"/>
      <c r="J21" s="26"/>
      <c r="K21" s="26"/>
      <c r="L21" s="26"/>
      <c r="M21" s="26"/>
      <c r="N21" s="26"/>
      <c r="O21" s="19">
        <f t="shared" si="1"/>
        <v>210</v>
      </c>
    </row>
    <row r="22" spans="1:15" ht="15" customHeight="1" x14ac:dyDescent="0.35">
      <c r="A22" s="24" t="s">
        <v>47</v>
      </c>
      <c r="B22" s="25" t="s">
        <v>38</v>
      </c>
      <c r="C22" s="26">
        <v>30</v>
      </c>
      <c r="D22" s="26"/>
      <c r="E22" s="26">
        <v>50</v>
      </c>
      <c r="F22" s="26"/>
      <c r="G22" s="26"/>
      <c r="H22" s="26"/>
      <c r="I22" s="26"/>
      <c r="J22" s="26"/>
      <c r="K22" s="26"/>
      <c r="L22" s="26"/>
      <c r="M22" s="26"/>
      <c r="N22" s="26"/>
      <c r="O22" s="19">
        <f t="shared" si="1"/>
        <v>80</v>
      </c>
    </row>
    <row r="23" spans="1:15" ht="15" customHeight="1" x14ac:dyDescent="0.35">
      <c r="A23" s="24" t="s">
        <v>48</v>
      </c>
      <c r="B23" s="25" t="s">
        <v>38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19">
        <f t="shared" si="1"/>
        <v>0</v>
      </c>
    </row>
    <row r="24" spans="1:15" ht="15" customHeight="1" x14ac:dyDescent="0.35">
      <c r="A24" s="24" t="s">
        <v>49</v>
      </c>
      <c r="B24" s="25" t="s">
        <v>38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19">
        <f t="shared" si="1"/>
        <v>0</v>
      </c>
    </row>
    <row r="25" spans="1:15" ht="15" customHeight="1" x14ac:dyDescent="0.35">
      <c r="A25" s="24" t="s">
        <v>50</v>
      </c>
      <c r="B25" s="25" t="s">
        <v>38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19">
        <f t="shared" si="1"/>
        <v>0</v>
      </c>
    </row>
    <row r="26" spans="1:15" ht="15" customHeight="1" x14ac:dyDescent="0.35">
      <c r="A26" s="24" t="s">
        <v>51</v>
      </c>
      <c r="B26" s="25" t="s">
        <v>38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19">
        <f t="shared" si="1"/>
        <v>0</v>
      </c>
    </row>
    <row r="27" spans="1:15" ht="15" customHeight="1" x14ac:dyDescent="0.35">
      <c r="A27" s="24" t="s">
        <v>52</v>
      </c>
      <c r="B27" s="25" t="s">
        <v>38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19">
        <f t="shared" si="1"/>
        <v>0</v>
      </c>
    </row>
    <row r="28" spans="1:15" ht="15" customHeight="1" x14ac:dyDescent="0.35">
      <c r="A28" s="30" t="s">
        <v>3</v>
      </c>
      <c r="B28" s="31"/>
      <c r="C28" s="32">
        <f t="shared" ref="C28:O28" si="2">SUM(C13:C27)</f>
        <v>3030</v>
      </c>
      <c r="D28" s="32">
        <f t="shared" si="2"/>
        <v>3190</v>
      </c>
      <c r="E28" s="32">
        <f t="shared" si="2"/>
        <v>2995</v>
      </c>
      <c r="F28" s="32">
        <f t="shared" si="2"/>
        <v>0</v>
      </c>
      <c r="G28" s="32">
        <f t="shared" si="2"/>
        <v>0</v>
      </c>
      <c r="H28" s="32">
        <f t="shared" si="2"/>
        <v>0</v>
      </c>
      <c r="I28" s="32">
        <f t="shared" si="2"/>
        <v>0</v>
      </c>
      <c r="J28" s="32">
        <f t="shared" si="2"/>
        <v>0</v>
      </c>
      <c r="K28" s="32">
        <f t="shared" si="2"/>
        <v>0</v>
      </c>
      <c r="L28" s="32">
        <f t="shared" si="2"/>
        <v>0</v>
      </c>
      <c r="M28" s="32">
        <f t="shared" si="2"/>
        <v>0</v>
      </c>
      <c r="N28" s="32">
        <f t="shared" si="2"/>
        <v>0</v>
      </c>
      <c r="O28" s="32">
        <f t="shared" si="2"/>
        <v>9215</v>
      </c>
    </row>
    <row r="29" spans="1:15" ht="15" customHeight="1" x14ac:dyDescent="0.35">
      <c r="A29" s="3" t="s">
        <v>53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" customHeight="1" x14ac:dyDescent="0.35">
      <c r="A30" s="24" t="s">
        <v>54</v>
      </c>
      <c r="B30" s="25" t="s">
        <v>10</v>
      </c>
      <c r="C30" s="26">
        <v>200</v>
      </c>
      <c r="D30" s="26">
        <v>200</v>
      </c>
      <c r="E30" s="26">
        <v>200</v>
      </c>
      <c r="F30" s="26"/>
      <c r="G30" s="26"/>
      <c r="H30" s="26"/>
      <c r="I30" s="26"/>
      <c r="J30" s="26"/>
      <c r="K30" s="26"/>
      <c r="L30" s="26"/>
      <c r="M30" s="26"/>
      <c r="N30" s="26"/>
      <c r="O30" s="19">
        <f>SUM(C30:N30)</f>
        <v>600</v>
      </c>
    </row>
    <row r="31" spans="1:15" ht="15" customHeight="1" x14ac:dyDescent="0.35">
      <c r="A31" s="24" t="s">
        <v>55</v>
      </c>
      <c r="B31" s="25" t="s">
        <v>10</v>
      </c>
      <c r="C31" s="26">
        <v>500</v>
      </c>
      <c r="D31" s="26">
        <v>500</v>
      </c>
      <c r="E31" s="26">
        <v>500</v>
      </c>
      <c r="F31" s="26"/>
      <c r="G31" s="26"/>
      <c r="H31" s="26"/>
      <c r="I31" s="26"/>
      <c r="J31" s="26"/>
      <c r="K31" s="26"/>
      <c r="L31" s="26"/>
      <c r="M31" s="26"/>
      <c r="N31" s="26"/>
      <c r="O31" s="19">
        <f>SUM(C31:N31)</f>
        <v>1500</v>
      </c>
    </row>
    <row r="32" spans="1:15" ht="15" customHeight="1" x14ac:dyDescent="0.35">
      <c r="A32" s="24" t="s">
        <v>56</v>
      </c>
      <c r="B32" s="25" t="s">
        <v>10</v>
      </c>
      <c r="C32" s="26">
        <v>100</v>
      </c>
      <c r="D32" s="26">
        <v>150</v>
      </c>
      <c r="E32" s="26">
        <v>100</v>
      </c>
      <c r="F32" s="26"/>
      <c r="G32" s="26"/>
      <c r="H32" s="26"/>
      <c r="I32" s="26"/>
      <c r="J32" s="26"/>
      <c r="K32" s="26"/>
      <c r="L32" s="26"/>
      <c r="M32" s="26"/>
      <c r="N32" s="26"/>
      <c r="O32" s="19">
        <f>SUM(C32:N32)</f>
        <v>350</v>
      </c>
    </row>
    <row r="33" spans="1:15" ht="15" customHeight="1" x14ac:dyDescent="0.35">
      <c r="A33" s="24" t="s">
        <v>57</v>
      </c>
      <c r="B33" s="25" t="s">
        <v>10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19">
        <f>SUM(C33:N33)</f>
        <v>0</v>
      </c>
    </row>
    <row r="34" spans="1:15" ht="15" customHeight="1" x14ac:dyDescent="0.35">
      <c r="A34" s="24" t="s">
        <v>58</v>
      </c>
      <c r="B34" s="25" t="s">
        <v>10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19">
        <f>SUM(C34:N34)</f>
        <v>0</v>
      </c>
    </row>
    <row r="35" spans="1:15" ht="15" customHeight="1" x14ac:dyDescent="0.35">
      <c r="A35" s="33" t="s">
        <v>4</v>
      </c>
      <c r="B35" s="34"/>
      <c r="C35" s="35">
        <f t="shared" ref="C35:O35" si="3">SUM(C30:C34)</f>
        <v>800</v>
      </c>
      <c r="D35" s="35">
        <f t="shared" si="3"/>
        <v>850</v>
      </c>
      <c r="E35" s="35">
        <f t="shared" si="3"/>
        <v>800</v>
      </c>
      <c r="F35" s="35">
        <f t="shared" si="3"/>
        <v>0</v>
      </c>
      <c r="G35" s="35">
        <f t="shared" si="3"/>
        <v>0</v>
      </c>
      <c r="H35" s="35">
        <f t="shared" si="3"/>
        <v>0</v>
      </c>
      <c r="I35" s="35">
        <f t="shared" si="3"/>
        <v>0</v>
      </c>
      <c r="J35" s="35">
        <f t="shared" si="3"/>
        <v>0</v>
      </c>
      <c r="K35" s="35">
        <f t="shared" si="3"/>
        <v>0</v>
      </c>
      <c r="L35" s="35">
        <f t="shared" si="3"/>
        <v>0</v>
      </c>
      <c r="M35" s="35">
        <f t="shared" si="3"/>
        <v>0</v>
      </c>
      <c r="N35" s="35">
        <f t="shared" si="3"/>
        <v>0</v>
      </c>
      <c r="O35" s="35">
        <f t="shared" si="3"/>
        <v>2450</v>
      </c>
    </row>
    <row r="36" spans="1:15" ht="15" customHeight="1" x14ac:dyDescent="0.35">
      <c r="A36" s="2" t="s">
        <v>59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 customHeight="1" x14ac:dyDescent="0.35">
      <c r="A37" s="36" t="s">
        <v>5</v>
      </c>
      <c r="B37" s="37"/>
      <c r="C37" s="38">
        <f t="shared" ref="C37:O37" si="4">C11-C28-C35</f>
        <v>1770</v>
      </c>
      <c r="D37" s="38">
        <f t="shared" si="4"/>
        <v>1880</v>
      </c>
      <c r="E37" s="38">
        <f t="shared" si="4"/>
        <v>1915</v>
      </c>
      <c r="F37" s="38">
        <f t="shared" si="4"/>
        <v>0</v>
      </c>
      <c r="G37" s="38">
        <f t="shared" si="4"/>
        <v>0</v>
      </c>
      <c r="H37" s="38">
        <f t="shared" si="4"/>
        <v>0</v>
      </c>
      <c r="I37" s="38">
        <f t="shared" si="4"/>
        <v>0</v>
      </c>
      <c r="J37" s="38">
        <f t="shared" si="4"/>
        <v>0</v>
      </c>
      <c r="K37" s="38">
        <f t="shared" si="4"/>
        <v>0</v>
      </c>
      <c r="L37" s="38">
        <f t="shared" si="4"/>
        <v>0</v>
      </c>
      <c r="M37" s="38">
        <f t="shared" si="4"/>
        <v>0</v>
      </c>
      <c r="N37" s="38">
        <f t="shared" si="4"/>
        <v>0</v>
      </c>
      <c r="O37" s="38">
        <f t="shared" si="4"/>
        <v>5565</v>
      </c>
    </row>
  </sheetData>
  <mergeCells count="6">
    <mergeCell ref="A36:O36"/>
    <mergeCell ref="A1:O1"/>
    <mergeCell ref="A2:O2"/>
    <mergeCell ref="A5:O5"/>
    <mergeCell ref="A12:O12"/>
    <mergeCell ref="A29:O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3AED"/>
  </sheetPr>
  <dimension ref="A1:N38"/>
  <sheetViews>
    <sheetView tabSelected="1" zoomScale="74" zoomScaleNormal="74" workbookViewId="0">
      <selection activeCell="C5" sqref="C5"/>
    </sheetView>
  </sheetViews>
  <sheetFormatPr defaultColWidth="8.6328125" defaultRowHeight="14.5" x14ac:dyDescent="0.35"/>
  <cols>
    <col min="1" max="1" width="30" customWidth="1"/>
    <col min="2" max="15" width="14" customWidth="1"/>
  </cols>
  <sheetData>
    <row r="1" spans="1:14" ht="21.75" customHeight="1" x14ac:dyDescent="0.35">
      <c r="A1" s="12" t="s">
        <v>60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" customHeight="1" x14ac:dyDescent="0.35">
      <c r="A2" s="11" t="s">
        <v>61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15" customHeight="1" x14ac:dyDescent="0.35">
      <c r="A4" s="4" t="s">
        <v>62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5" customHeight="1" x14ac:dyDescent="0.35">
      <c r="A5" s="16" t="s">
        <v>63</v>
      </c>
      <c r="B5" s="16" t="s">
        <v>13</v>
      </c>
      <c r="C5" s="16" t="s">
        <v>14</v>
      </c>
      <c r="D5" s="16" t="s">
        <v>15</v>
      </c>
      <c r="E5" s="16" t="s">
        <v>16</v>
      </c>
      <c r="F5" s="16" t="s">
        <v>17</v>
      </c>
      <c r="G5" s="16" t="s">
        <v>18</v>
      </c>
      <c r="H5" s="16" t="s">
        <v>19</v>
      </c>
      <c r="I5" s="16" t="s">
        <v>20</v>
      </c>
      <c r="J5" s="16" t="s">
        <v>21</v>
      </c>
      <c r="K5" s="16" t="s">
        <v>22</v>
      </c>
      <c r="L5" s="16" t="s">
        <v>23</v>
      </c>
      <c r="M5" s="16" t="s">
        <v>24</v>
      </c>
      <c r="N5" s="16"/>
    </row>
    <row r="6" spans="1:14" ht="15" customHeight="1" x14ac:dyDescent="0.35">
      <c r="A6" s="39" t="s">
        <v>64</v>
      </c>
      <c r="B6" s="40">
        <f>IFERROR(LARGE('Monthly Tracker'!C13:C27,1),0)</f>
        <v>1500</v>
      </c>
      <c r="C6" s="40">
        <f>IFERROR(LARGE('Monthly Tracker'!D13:D27,1),0)</f>
        <v>1500</v>
      </c>
      <c r="D6" s="40">
        <f>IFERROR(LARGE('Monthly Tracker'!E13:E27,1),0)</f>
        <v>1500</v>
      </c>
      <c r="E6" s="40">
        <f>IFERROR(LARGE('Monthly Tracker'!F13:F27,1),0)</f>
        <v>0</v>
      </c>
      <c r="F6" s="40">
        <f>IFERROR(LARGE('Monthly Tracker'!G13:G27,1),0)</f>
        <v>0</v>
      </c>
      <c r="G6" s="40">
        <f>IFERROR(LARGE('Monthly Tracker'!H13:H27,1),0)</f>
        <v>0</v>
      </c>
      <c r="H6" s="40">
        <f>IFERROR(LARGE('Monthly Tracker'!I13:I27,1),0)</f>
        <v>0</v>
      </c>
      <c r="I6" s="40">
        <f>IFERROR(LARGE('Monthly Tracker'!J13:J27,1),0)</f>
        <v>0</v>
      </c>
      <c r="J6" s="40">
        <f>IFERROR(LARGE('Monthly Tracker'!K13:K27,1),0)</f>
        <v>0</v>
      </c>
      <c r="K6" s="40">
        <f>IFERROR(LARGE('Monthly Tracker'!L13:L27,1),0)</f>
        <v>0</v>
      </c>
      <c r="L6" s="40">
        <f>IFERROR(LARGE('Monthly Tracker'!M13:M27,1),0)</f>
        <v>0</v>
      </c>
      <c r="M6" s="40">
        <f>IFERROR(LARGE('Monthly Tracker'!N13:N27,1),0)</f>
        <v>0</v>
      </c>
    </row>
    <row r="7" spans="1:14" ht="15" customHeight="1" x14ac:dyDescent="0.35">
      <c r="A7" s="39" t="s">
        <v>65</v>
      </c>
      <c r="B7" s="18">
        <f>IFERROR(LARGE('Monthly Tracker'!C13:C27,2),0)</f>
        <v>400</v>
      </c>
      <c r="C7" s="18">
        <f>IFERROR(LARGE('Monthly Tracker'!D13:D27,2),0)</f>
        <v>450</v>
      </c>
      <c r="D7" s="18">
        <f>IFERROR(LARGE('Monthly Tracker'!E13:E27,2),0)</f>
        <v>380</v>
      </c>
      <c r="E7" s="18">
        <f>IFERROR(LARGE('Monthly Tracker'!F13:F27,2),0)</f>
        <v>0</v>
      </c>
      <c r="F7" s="18">
        <f>IFERROR(LARGE('Monthly Tracker'!G13:G27,2),0)</f>
        <v>0</v>
      </c>
      <c r="G7" s="18">
        <f>IFERROR(LARGE('Monthly Tracker'!H13:H27,2),0)</f>
        <v>0</v>
      </c>
      <c r="H7" s="18">
        <f>IFERROR(LARGE('Monthly Tracker'!I13:I27,2),0)</f>
        <v>0</v>
      </c>
      <c r="I7" s="18">
        <f>IFERROR(LARGE('Monthly Tracker'!J13:J27,2),0)</f>
        <v>0</v>
      </c>
      <c r="J7" s="18">
        <f>IFERROR(LARGE('Monthly Tracker'!K13:K27,2),0)</f>
        <v>0</v>
      </c>
      <c r="K7" s="18">
        <f>IFERROR(LARGE('Monthly Tracker'!L13:L27,2),0)</f>
        <v>0</v>
      </c>
      <c r="L7" s="18">
        <f>IFERROR(LARGE('Monthly Tracker'!M13:M27,2),0)</f>
        <v>0</v>
      </c>
      <c r="M7" s="18">
        <f>IFERROR(LARGE('Monthly Tracker'!N13:N27,2),0)</f>
        <v>0</v>
      </c>
    </row>
    <row r="8" spans="1:14" ht="15" customHeight="1" x14ac:dyDescent="0.35">
      <c r="A8" s="39" t="s">
        <v>66</v>
      </c>
      <c r="B8" s="18">
        <f>IFERROR(LARGE('Monthly Tracker'!C13:C27,3),0)</f>
        <v>300</v>
      </c>
      <c r="C8" s="18">
        <f>IFERROR(LARGE('Monthly Tracker'!D13:D27,3),0)</f>
        <v>300</v>
      </c>
      <c r="D8" s="18">
        <f>IFERROR(LARGE('Monthly Tracker'!E13:E27,3),0)</f>
        <v>300</v>
      </c>
      <c r="E8" s="18">
        <f>IFERROR(LARGE('Monthly Tracker'!F13:F27,3),0)</f>
        <v>0</v>
      </c>
      <c r="F8" s="18">
        <f>IFERROR(LARGE('Monthly Tracker'!G13:G27,3),0)</f>
        <v>0</v>
      </c>
      <c r="G8" s="18">
        <f>IFERROR(LARGE('Monthly Tracker'!H13:H27,3),0)</f>
        <v>0</v>
      </c>
      <c r="H8" s="18">
        <f>IFERROR(LARGE('Monthly Tracker'!I13:I27,3),0)</f>
        <v>0</v>
      </c>
      <c r="I8" s="18">
        <f>IFERROR(LARGE('Monthly Tracker'!J13:J27,3),0)</f>
        <v>0</v>
      </c>
      <c r="J8" s="18">
        <f>IFERROR(LARGE('Monthly Tracker'!K13:K27,3),0)</f>
        <v>0</v>
      </c>
      <c r="K8" s="18">
        <f>IFERROR(LARGE('Monthly Tracker'!L13:L27,3),0)</f>
        <v>0</v>
      </c>
      <c r="L8" s="18">
        <f>IFERROR(LARGE('Monthly Tracker'!M13:M27,3),0)</f>
        <v>0</v>
      </c>
      <c r="M8" s="18">
        <f>IFERROR(LARGE('Monthly Tracker'!N13:N27,3),0)</f>
        <v>0</v>
      </c>
    </row>
    <row r="10" spans="1:14" ht="15" customHeight="1" x14ac:dyDescent="0.35">
      <c r="A10" s="1" t="s">
        <v>67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" customHeight="1" x14ac:dyDescent="0.35">
      <c r="A11" s="16" t="s">
        <v>68</v>
      </c>
      <c r="B11" s="16" t="s">
        <v>13</v>
      </c>
      <c r="C11" s="16" t="s">
        <v>14</v>
      </c>
      <c r="D11" s="16" t="s">
        <v>15</v>
      </c>
      <c r="E11" s="16" t="s">
        <v>16</v>
      </c>
      <c r="F11" s="16" t="s">
        <v>17</v>
      </c>
      <c r="G11" s="16" t="s">
        <v>18</v>
      </c>
      <c r="H11" s="16" t="s">
        <v>19</v>
      </c>
      <c r="I11" s="16" t="s">
        <v>20</v>
      </c>
      <c r="J11" s="16" t="s">
        <v>21</v>
      </c>
      <c r="K11" s="16" t="s">
        <v>22</v>
      </c>
      <c r="L11" s="16" t="s">
        <v>23</v>
      </c>
      <c r="M11" s="16" t="s">
        <v>24</v>
      </c>
      <c r="N11" s="16"/>
    </row>
    <row r="12" spans="1:14" ht="15" customHeight="1" x14ac:dyDescent="0.35">
      <c r="A12" s="41" t="s">
        <v>69</v>
      </c>
      <c r="B12" s="42" t="str">
        <f>IFERROR(INDEX('Monthly Tracker'!$A$13:$A$27,MATCH(MAX('Monthly Tracker'!C13:C27),'Monthly Tracker'!C13:C27,0)),"No data")</f>
        <v>Housing/Rent</v>
      </c>
      <c r="C12" s="42" t="str">
        <f>IFERROR(INDEX('Monthly Tracker'!$A$13:$A$27,MATCH(MAX('Monthly Tracker'!D13:D27),'Monthly Tracker'!D13:D27,0)),"No data")</f>
        <v>Housing/Rent</v>
      </c>
      <c r="D12" s="42" t="str">
        <f>IFERROR(INDEX('Monthly Tracker'!$A$13:$A$27,MATCH(MAX('Monthly Tracker'!E13:E27),'Monthly Tracker'!E13:E27,0)),"No data")</f>
        <v>Housing/Rent</v>
      </c>
      <c r="E12" s="42" t="str">
        <f>IFERROR(INDEX('Monthly Tracker'!$A$13:$A$27,MATCH(MAX('Monthly Tracker'!F13:F27),'Monthly Tracker'!F13:F27,0)),"No data")</f>
        <v>No data</v>
      </c>
      <c r="F12" s="42" t="str">
        <f>IFERROR(INDEX('Monthly Tracker'!$A$13:$A$27,MATCH(MAX('Monthly Tracker'!G13:G27),'Monthly Tracker'!G13:G27,0)),"No data")</f>
        <v>No data</v>
      </c>
      <c r="G12" s="42" t="str">
        <f>IFERROR(INDEX('Monthly Tracker'!$A$13:$A$27,MATCH(MAX('Monthly Tracker'!H13:H27),'Monthly Tracker'!H13:H27,0)),"No data")</f>
        <v>No data</v>
      </c>
      <c r="H12" s="42" t="str">
        <f>IFERROR(INDEX('Monthly Tracker'!$A$13:$A$27,MATCH(MAX('Monthly Tracker'!I13:I27),'Monthly Tracker'!I13:I27,0)),"No data")</f>
        <v>No data</v>
      </c>
      <c r="I12" s="42" t="str">
        <f>IFERROR(INDEX('Monthly Tracker'!$A$13:$A$27,MATCH(MAX('Monthly Tracker'!J13:J27),'Monthly Tracker'!J13:J27,0)),"No data")</f>
        <v>No data</v>
      </c>
      <c r="J12" s="42" t="str">
        <f>IFERROR(INDEX('Monthly Tracker'!$A$13:$A$27,MATCH(MAX('Monthly Tracker'!K13:K27),'Monthly Tracker'!K13:K27,0)),"No data")</f>
        <v>No data</v>
      </c>
      <c r="K12" s="42" t="str">
        <f>IFERROR(INDEX('Monthly Tracker'!$A$13:$A$27,MATCH(MAX('Monthly Tracker'!L13:L27),'Monthly Tracker'!L13:L27,0)),"No data")</f>
        <v>No data</v>
      </c>
      <c r="L12" s="42" t="str">
        <f>IFERROR(INDEX('Monthly Tracker'!$A$13:$A$27,MATCH(MAX('Monthly Tracker'!M13:M27),'Monthly Tracker'!M13:M27,0)),"No data")</f>
        <v>No data</v>
      </c>
      <c r="M12" s="42" t="str">
        <f>IFERROR(INDEX('Monthly Tracker'!$A$13:$A$27,MATCH(MAX('Monthly Tracker'!N13:N27),'Monthly Tracker'!N13:N27,0)),"No data")</f>
        <v>No data</v>
      </c>
    </row>
    <row r="13" spans="1:14" ht="15" customHeight="1" x14ac:dyDescent="0.35">
      <c r="A13" s="24" t="s">
        <v>70</v>
      </c>
      <c r="B13" s="40">
        <f>IFERROR(MAX('Monthly Tracker'!C13:C27),0)</f>
        <v>1500</v>
      </c>
      <c r="C13" s="40">
        <f>IFERROR(MAX('Monthly Tracker'!D13:D27),0)</f>
        <v>1500</v>
      </c>
      <c r="D13" s="40">
        <f>IFERROR(MAX('Monthly Tracker'!E13:E27),0)</f>
        <v>1500</v>
      </c>
      <c r="E13" s="40">
        <f>IFERROR(MAX('Monthly Tracker'!F13:F27),0)</f>
        <v>0</v>
      </c>
      <c r="F13" s="40">
        <f>IFERROR(MAX('Monthly Tracker'!G13:G27),0)</f>
        <v>0</v>
      </c>
      <c r="G13" s="40">
        <f>IFERROR(MAX('Monthly Tracker'!H13:H27),0)</f>
        <v>0</v>
      </c>
      <c r="H13" s="40">
        <f>IFERROR(MAX('Monthly Tracker'!I13:I27),0)</f>
        <v>0</v>
      </c>
      <c r="I13" s="40">
        <f>IFERROR(MAX('Monthly Tracker'!J13:J27),0)</f>
        <v>0</v>
      </c>
      <c r="J13" s="40">
        <f>IFERROR(MAX('Monthly Tracker'!K13:K27),0)</f>
        <v>0</v>
      </c>
      <c r="K13" s="40">
        <f>IFERROR(MAX('Monthly Tracker'!L13:L27),0)</f>
        <v>0</v>
      </c>
      <c r="L13" s="40">
        <f>IFERROR(MAX('Monthly Tracker'!M13:M27),0)</f>
        <v>0</v>
      </c>
      <c r="M13" s="40">
        <f>IFERROR(MAX('Monthly Tracker'!N13:N27),0)</f>
        <v>0</v>
      </c>
    </row>
    <row r="14" spans="1:14" ht="15" customHeight="1" x14ac:dyDescent="0.35">
      <c r="A14" s="24" t="s">
        <v>71</v>
      </c>
      <c r="B14" s="43">
        <f>IFERROR(IF('Monthly Tracker'!C28=0,0,MAX('Monthly Tracker'!C13:C27)/'Monthly Tracker'!C28),0)</f>
        <v>0.49504950495049505</v>
      </c>
      <c r="C14" s="43">
        <f>IFERROR(IF('Monthly Tracker'!D28=0,0,MAX('Monthly Tracker'!D13:D27)/'Monthly Tracker'!D28),0)</f>
        <v>0.47021943573667713</v>
      </c>
      <c r="D14" s="43">
        <f>IFERROR(IF('Monthly Tracker'!E28=0,0,MAX('Monthly Tracker'!E13:E27)/'Monthly Tracker'!E28),0)</f>
        <v>0.5008347245409015</v>
      </c>
      <c r="E14" s="43">
        <f>IFERROR(IF('Monthly Tracker'!F28=0,0,MAX('Monthly Tracker'!F13:F27)/'Monthly Tracker'!F28),0)</f>
        <v>0</v>
      </c>
      <c r="F14" s="43">
        <f>IFERROR(IF('Monthly Tracker'!G28=0,0,MAX('Monthly Tracker'!G13:G27)/'Monthly Tracker'!G28),0)</f>
        <v>0</v>
      </c>
      <c r="G14" s="43">
        <f>IFERROR(IF('Monthly Tracker'!H28=0,0,MAX('Monthly Tracker'!H13:H27)/'Monthly Tracker'!H28),0)</f>
        <v>0</v>
      </c>
      <c r="H14" s="43">
        <f>IFERROR(IF('Monthly Tracker'!I28=0,0,MAX('Monthly Tracker'!I13:I27)/'Monthly Tracker'!I28),0)</f>
        <v>0</v>
      </c>
      <c r="I14" s="43">
        <f>IFERROR(IF('Monthly Tracker'!J28=0,0,MAX('Monthly Tracker'!J13:J27)/'Monthly Tracker'!J28),0)</f>
        <v>0</v>
      </c>
      <c r="J14" s="43">
        <f>IFERROR(IF('Monthly Tracker'!K28=0,0,MAX('Monthly Tracker'!K13:K27)/'Monthly Tracker'!K28),0)</f>
        <v>0</v>
      </c>
      <c r="K14" s="43">
        <f>IFERROR(IF('Monthly Tracker'!L28=0,0,MAX('Monthly Tracker'!L13:L27)/'Monthly Tracker'!L28),0)</f>
        <v>0</v>
      </c>
      <c r="L14" s="43">
        <f>IFERROR(IF('Monthly Tracker'!M28=0,0,MAX('Monthly Tracker'!M13:M27)/'Monthly Tracker'!M28),0)</f>
        <v>0</v>
      </c>
      <c r="M14" s="43">
        <f>IFERROR(IF('Monthly Tracker'!N28=0,0,MAX('Monthly Tracker'!N13:N27)/'Monthly Tracker'!N28),0)</f>
        <v>0</v>
      </c>
    </row>
    <row r="16" spans="1:14" ht="15" customHeight="1" x14ac:dyDescent="0.35">
      <c r="A16" s="2" t="s">
        <v>72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5" customHeight="1" x14ac:dyDescent="0.35">
      <c r="A17" s="16" t="s">
        <v>73</v>
      </c>
      <c r="B17" s="16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18</v>
      </c>
      <c r="H17" s="16" t="s">
        <v>19</v>
      </c>
      <c r="I17" s="16" t="s">
        <v>20</v>
      </c>
      <c r="J17" s="16" t="s">
        <v>21</v>
      </c>
      <c r="K17" s="16" t="s">
        <v>22</v>
      </c>
      <c r="L17" s="16" t="s">
        <v>23</v>
      </c>
      <c r="M17" s="16" t="s">
        <v>24</v>
      </c>
      <c r="N17" s="16"/>
    </row>
    <row r="18" spans="1:14" ht="15" customHeight="1" x14ac:dyDescent="0.35">
      <c r="A18" s="44" t="s">
        <v>74</v>
      </c>
      <c r="B18" s="45" t="s">
        <v>75</v>
      </c>
      <c r="C18" s="46">
        <f>'Monthly Tracker'!D28-'Monthly Tracker'!C28</f>
        <v>160</v>
      </c>
      <c r="D18" s="46">
        <f>'Monthly Tracker'!E28-'Monthly Tracker'!D28</f>
        <v>-195</v>
      </c>
      <c r="E18" s="46">
        <f>'Monthly Tracker'!F28-'Monthly Tracker'!E28</f>
        <v>-2995</v>
      </c>
      <c r="F18" s="46">
        <f>'Monthly Tracker'!G28-'Monthly Tracker'!F28</f>
        <v>0</v>
      </c>
      <c r="G18" s="46">
        <f>'Monthly Tracker'!H28-'Monthly Tracker'!G28</f>
        <v>0</v>
      </c>
      <c r="H18" s="46">
        <f>'Monthly Tracker'!I28-'Monthly Tracker'!H28</f>
        <v>0</v>
      </c>
      <c r="I18" s="46">
        <f>'Monthly Tracker'!J28-'Monthly Tracker'!I28</f>
        <v>0</v>
      </c>
      <c r="J18" s="46">
        <f>'Monthly Tracker'!K28-'Monthly Tracker'!J28</f>
        <v>0</v>
      </c>
      <c r="K18" s="46">
        <f>'Monthly Tracker'!L28-'Monthly Tracker'!K28</f>
        <v>0</v>
      </c>
      <c r="L18" s="46">
        <f>'Monthly Tracker'!M28-'Monthly Tracker'!L28</f>
        <v>0</v>
      </c>
      <c r="M18" s="46">
        <f>'Monthly Tracker'!N28-'Monthly Tracker'!M28</f>
        <v>0</v>
      </c>
    </row>
    <row r="19" spans="1:14" ht="15" customHeight="1" x14ac:dyDescent="0.35">
      <c r="A19" s="24" t="s">
        <v>76</v>
      </c>
      <c r="B19" s="45" t="s">
        <v>75</v>
      </c>
      <c r="C19" s="47">
        <f>IF('Monthly Tracker'!C28=0,0,('Monthly Tracker'!D28-'Monthly Tracker'!C28)/'Monthly Tracker'!C28)</f>
        <v>5.2805280528052806E-2</v>
      </c>
      <c r="D19" s="47">
        <f>IF('Monthly Tracker'!D28=0,0,('Monthly Tracker'!E28-'Monthly Tracker'!D28)/'Monthly Tracker'!D28)</f>
        <v>-6.1128526645768025E-2</v>
      </c>
      <c r="E19" s="47">
        <f>IF('Monthly Tracker'!E28=0,0,('Monthly Tracker'!F28-'Monthly Tracker'!E28)/'Monthly Tracker'!E28)</f>
        <v>-1</v>
      </c>
      <c r="F19" s="47">
        <f>IF('Monthly Tracker'!F28=0,0,('Monthly Tracker'!G28-'Monthly Tracker'!F28)/'Monthly Tracker'!F28)</f>
        <v>0</v>
      </c>
      <c r="G19" s="47">
        <f>IF('Monthly Tracker'!G28=0,0,('Monthly Tracker'!H28-'Monthly Tracker'!G28)/'Monthly Tracker'!G28)</f>
        <v>0</v>
      </c>
      <c r="H19" s="47">
        <f>IF('Monthly Tracker'!H28=0,0,('Monthly Tracker'!I28-'Monthly Tracker'!H28)/'Monthly Tracker'!H28)</f>
        <v>0</v>
      </c>
      <c r="I19" s="47">
        <f>IF('Monthly Tracker'!I28=0,0,('Monthly Tracker'!J28-'Monthly Tracker'!I28)/'Monthly Tracker'!I28)</f>
        <v>0</v>
      </c>
      <c r="J19" s="47">
        <f>IF('Monthly Tracker'!J28=0,0,('Monthly Tracker'!K28-'Monthly Tracker'!J28)/'Monthly Tracker'!J28)</f>
        <v>0</v>
      </c>
      <c r="K19" s="47">
        <f>IF('Monthly Tracker'!K28=0,0,('Monthly Tracker'!L28-'Monthly Tracker'!K28)/'Monthly Tracker'!K28)</f>
        <v>0</v>
      </c>
      <c r="L19" s="47">
        <f>IF('Monthly Tracker'!L28=0,0,('Monthly Tracker'!M28-'Monthly Tracker'!L28)/'Monthly Tracker'!L28)</f>
        <v>0</v>
      </c>
      <c r="M19" s="47">
        <f>IF('Monthly Tracker'!M28=0,0,('Monthly Tracker'!N28-'Monthly Tracker'!M28)/'Monthly Tracker'!M28)</f>
        <v>0</v>
      </c>
    </row>
    <row r="20" spans="1:14" ht="15" customHeight="1" x14ac:dyDescent="0.35">
      <c r="A20" s="44" t="s">
        <v>77</v>
      </c>
      <c r="B20" s="45" t="s">
        <v>75</v>
      </c>
      <c r="C20" s="48" t="str">
        <f>IF('Monthly Tracker'!D28&gt;'Monthly Tracker'!C28,"SPENDING UP","SPENDING DOWN")</f>
        <v>SPENDING UP</v>
      </c>
      <c r="D20" s="48" t="str">
        <f>IF('Monthly Tracker'!E28&gt;'Monthly Tracker'!D28,"SPENDING UP","SPENDING DOWN")</f>
        <v>SPENDING DOWN</v>
      </c>
      <c r="E20" s="48" t="str">
        <f>IF('Monthly Tracker'!F28&gt;'Monthly Tracker'!E28,"SPENDING UP","SPENDING DOWN")</f>
        <v>SPENDING DOWN</v>
      </c>
      <c r="F20" s="48" t="str">
        <f>IF('Monthly Tracker'!G28&gt;'Monthly Tracker'!F28,"SPENDING UP","SPENDING DOWN")</f>
        <v>SPENDING DOWN</v>
      </c>
      <c r="G20" s="48" t="str">
        <f>IF('Monthly Tracker'!H28&gt;'Monthly Tracker'!G28,"SPENDING UP","SPENDING DOWN")</f>
        <v>SPENDING DOWN</v>
      </c>
      <c r="H20" s="48" t="str">
        <f>IF('Monthly Tracker'!I28&gt;'Monthly Tracker'!H28,"SPENDING UP","SPENDING DOWN")</f>
        <v>SPENDING DOWN</v>
      </c>
      <c r="I20" s="48" t="str">
        <f>IF('Monthly Tracker'!J28&gt;'Monthly Tracker'!I28,"SPENDING UP","SPENDING DOWN")</f>
        <v>SPENDING DOWN</v>
      </c>
      <c r="J20" s="48" t="str">
        <f>IF('Monthly Tracker'!K28&gt;'Monthly Tracker'!J28,"SPENDING UP","SPENDING DOWN")</f>
        <v>SPENDING DOWN</v>
      </c>
      <c r="K20" s="48" t="str">
        <f>IF('Monthly Tracker'!L28&gt;'Monthly Tracker'!K28,"SPENDING UP","SPENDING DOWN")</f>
        <v>SPENDING DOWN</v>
      </c>
      <c r="L20" s="48" t="str">
        <f>IF('Monthly Tracker'!M28&gt;'Monthly Tracker'!L28,"SPENDING UP","SPENDING DOWN")</f>
        <v>SPENDING DOWN</v>
      </c>
      <c r="M20" s="48" t="str">
        <f>IF('Monthly Tracker'!N28&gt;'Monthly Tracker'!M28,"SPENDING UP","SPENDING DOWN")</f>
        <v>SPENDING DOWN</v>
      </c>
    </row>
    <row r="22" spans="1:14" ht="15" customHeight="1" x14ac:dyDescent="0.35">
      <c r="A22" s="1" t="s">
        <v>78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6.25" customHeight="1" x14ac:dyDescent="0.35">
      <c r="A23" s="16" t="s">
        <v>79</v>
      </c>
      <c r="B23" s="16" t="s">
        <v>80</v>
      </c>
      <c r="C23" s="16" t="s">
        <v>81</v>
      </c>
      <c r="D23" s="16" t="s">
        <v>82</v>
      </c>
      <c r="E23" s="16" t="s">
        <v>83</v>
      </c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32.25" customHeight="1" x14ac:dyDescent="0.35">
      <c r="A24" s="24" t="s">
        <v>37</v>
      </c>
      <c r="B24" s="46">
        <f>'Monthly Tracker'!O13</f>
        <v>4500</v>
      </c>
      <c r="C24" s="47">
        <f>IF('Monthly Tracker'!O28=0,0,B24/'Monthly Tracker'!O28)</f>
        <v>0.48833423765599565</v>
      </c>
      <c r="D24" s="46">
        <f>IF(COUNTA('Monthly Tracker'!C13:N13)=0,0,B24/COUNTA('Monthly Tracker'!C13:N13))</f>
        <v>1500</v>
      </c>
      <c r="E24" s="49" t="str">
        <f t="shared" ref="E24:E38" si="0">IF(C24&gt;0.2,"HIGH: Major expense. Review for savings.",IF(C24&gt;0.1,"MODERATE: Look for ways to trim.",IF(C24&gt;0.05,"WATCH: Small but adds up over time.","OK: Reasonable spending.")))</f>
        <v>HIGH: Major expense. Review for savings.</v>
      </c>
    </row>
    <row r="25" spans="1:14" ht="32.25" customHeight="1" x14ac:dyDescent="0.35">
      <c r="A25" s="24" t="s">
        <v>39</v>
      </c>
      <c r="B25" s="46">
        <f>'Monthly Tracker'!O14</f>
        <v>610</v>
      </c>
      <c r="C25" s="47">
        <f>IF('Monthly Tracker'!O28=0,0,B25/'Monthly Tracker'!O28)</f>
        <v>6.6196418882257191E-2</v>
      </c>
      <c r="D25" s="46">
        <f>IF(COUNTA('Monthly Tracker'!C14:N14)=0,0,B25/COUNTA('Monthly Tracker'!C14:N14))</f>
        <v>203.33333333333334</v>
      </c>
      <c r="E25" s="49" t="str">
        <f t="shared" si="0"/>
        <v>WATCH: Small but adds up over time.</v>
      </c>
    </row>
    <row r="26" spans="1:14" ht="32.25" customHeight="1" x14ac:dyDescent="0.35">
      <c r="A26" s="24" t="s">
        <v>40</v>
      </c>
      <c r="B26" s="46">
        <f>'Monthly Tracker'!O15</f>
        <v>1230</v>
      </c>
      <c r="C26" s="47">
        <f>IF('Monthly Tracker'!O28=0,0,B26/'Monthly Tracker'!O28)</f>
        <v>0.13347802495930547</v>
      </c>
      <c r="D26" s="46">
        <f>IF(COUNTA('Monthly Tracker'!C15:N15)=0,0,B26/COUNTA('Monthly Tracker'!C15:N15))</f>
        <v>410</v>
      </c>
      <c r="E26" s="49" t="str">
        <f t="shared" si="0"/>
        <v>MODERATE: Look for ways to trim.</v>
      </c>
    </row>
    <row r="27" spans="1:14" ht="21.75" customHeight="1" x14ac:dyDescent="0.35">
      <c r="A27" s="24" t="s">
        <v>41</v>
      </c>
      <c r="B27" s="46">
        <f>'Monthly Tracker'!O16</f>
        <v>450</v>
      </c>
      <c r="C27" s="47">
        <f>IF('Monthly Tracker'!O28=0,0,B27/'Monthly Tracker'!O28)</f>
        <v>4.8833423765599564E-2</v>
      </c>
      <c r="D27" s="46">
        <f>IF(COUNTA('Monthly Tracker'!C16:N16)=0,0,B27/COUNTA('Monthly Tracker'!C16:N16))</f>
        <v>150</v>
      </c>
      <c r="E27" s="49" t="str">
        <f t="shared" si="0"/>
        <v>OK: Reasonable spending.</v>
      </c>
    </row>
    <row r="28" spans="1:14" ht="32.25" customHeight="1" x14ac:dyDescent="0.35">
      <c r="A28" s="24" t="s">
        <v>42</v>
      </c>
      <c r="B28" s="46">
        <f>'Monthly Tracker'!O17</f>
        <v>900</v>
      </c>
      <c r="C28" s="47">
        <f>IF('Monthly Tracker'!O28=0,0,B28/'Monthly Tracker'!O28)</f>
        <v>9.7666847531199127E-2</v>
      </c>
      <c r="D28" s="46">
        <f>IF(COUNTA('Monthly Tracker'!C17:N17)=0,0,B28/COUNTA('Monthly Tracker'!C17:N17))</f>
        <v>300</v>
      </c>
      <c r="E28" s="49" t="str">
        <f t="shared" si="0"/>
        <v>WATCH: Small but adds up over time.</v>
      </c>
    </row>
    <row r="29" spans="1:14" ht="21.75" customHeight="1" x14ac:dyDescent="0.35">
      <c r="A29" s="24" t="s">
        <v>43</v>
      </c>
      <c r="B29" s="46">
        <f>'Monthly Tracker'!O18</f>
        <v>360</v>
      </c>
      <c r="C29" s="47">
        <f>IF('Monthly Tracker'!O28=0,0,B29/'Monthly Tracker'!O28)</f>
        <v>3.9066739012479652E-2</v>
      </c>
      <c r="D29" s="46">
        <f>IF(COUNTA('Monthly Tracker'!C18:N18)=0,0,B29/COUNTA('Monthly Tracker'!C18:N18))</f>
        <v>120</v>
      </c>
      <c r="E29" s="49" t="str">
        <f t="shared" si="0"/>
        <v>OK: Reasonable spending.</v>
      </c>
    </row>
    <row r="30" spans="1:14" ht="32.25" customHeight="1" x14ac:dyDescent="0.35">
      <c r="A30" s="24" t="s">
        <v>44</v>
      </c>
      <c r="B30" s="46">
        <f>'Monthly Tracker'!O19</f>
        <v>630</v>
      </c>
      <c r="C30" s="47">
        <f>IF('Monthly Tracker'!O28=0,0,B30/'Monthly Tracker'!O28)</f>
        <v>6.8366793271839393E-2</v>
      </c>
      <c r="D30" s="46">
        <f>IF(COUNTA('Monthly Tracker'!C19:N19)=0,0,B30/COUNTA('Monthly Tracker'!C19:N19))</f>
        <v>210</v>
      </c>
      <c r="E30" s="49" t="str">
        <f t="shared" si="0"/>
        <v>WATCH: Small but adds up over time.</v>
      </c>
    </row>
    <row r="31" spans="1:14" ht="21.75" customHeight="1" x14ac:dyDescent="0.35">
      <c r="A31" s="24" t="s">
        <v>45</v>
      </c>
      <c r="B31" s="46">
        <f>'Monthly Tracker'!O20</f>
        <v>245</v>
      </c>
      <c r="C31" s="47">
        <f>IF('Monthly Tracker'!O28=0,0,B31/'Monthly Tracker'!O28)</f>
        <v>2.6587086272381984E-2</v>
      </c>
      <c r="D31" s="46">
        <f>IF(COUNTA('Monthly Tracker'!C20:N20)=0,0,B31/COUNTA('Monthly Tracker'!C20:N20))</f>
        <v>81.666666666666671</v>
      </c>
      <c r="E31" s="49" t="str">
        <f t="shared" si="0"/>
        <v>OK: Reasonable spending.</v>
      </c>
    </row>
    <row r="32" spans="1:14" ht="21.75" customHeight="1" x14ac:dyDescent="0.35">
      <c r="A32" s="24" t="s">
        <v>46</v>
      </c>
      <c r="B32" s="46">
        <f>'Monthly Tracker'!O21</f>
        <v>210</v>
      </c>
      <c r="C32" s="47">
        <f>IF('Monthly Tracker'!O28=0,0,B32/'Monthly Tracker'!O28)</f>
        <v>2.278893109061313E-2</v>
      </c>
      <c r="D32" s="46">
        <f>IF(COUNTA('Monthly Tracker'!C21:N21)=0,0,B32/COUNTA('Monthly Tracker'!C21:N21))</f>
        <v>70</v>
      </c>
      <c r="E32" s="49" t="str">
        <f t="shared" si="0"/>
        <v>OK: Reasonable spending.</v>
      </c>
    </row>
    <row r="33" spans="1:5" ht="21.75" customHeight="1" x14ac:dyDescent="0.35">
      <c r="A33" s="24" t="s">
        <v>47</v>
      </c>
      <c r="B33" s="46">
        <f>'Monthly Tracker'!O22</f>
        <v>80</v>
      </c>
      <c r="C33" s="47">
        <f>IF('Monthly Tracker'!O28=0,0,B33/'Monthly Tracker'!O28)</f>
        <v>8.6814975583288118E-3</v>
      </c>
      <c r="D33" s="46">
        <f>IF(COUNTA('Monthly Tracker'!C22:N22)=0,0,B33/COUNTA('Monthly Tracker'!C22:N22))</f>
        <v>40</v>
      </c>
      <c r="E33" s="49" t="str">
        <f t="shared" si="0"/>
        <v>OK: Reasonable spending.</v>
      </c>
    </row>
    <row r="34" spans="1:5" ht="21.75" customHeight="1" x14ac:dyDescent="0.35">
      <c r="A34" s="24" t="s">
        <v>48</v>
      </c>
      <c r="B34" s="46">
        <f>'Monthly Tracker'!O23</f>
        <v>0</v>
      </c>
      <c r="C34" s="47">
        <f>IF('Monthly Tracker'!O28=0,0,B34/'Monthly Tracker'!O28)</f>
        <v>0</v>
      </c>
      <c r="D34" s="46">
        <f>IF(COUNTA('Monthly Tracker'!C23:N23)=0,0,B34/COUNTA('Monthly Tracker'!C23:N23))</f>
        <v>0</v>
      </c>
      <c r="E34" s="49" t="str">
        <f t="shared" si="0"/>
        <v>OK: Reasonable spending.</v>
      </c>
    </row>
    <row r="35" spans="1:5" ht="21.75" customHeight="1" x14ac:dyDescent="0.35">
      <c r="A35" s="24" t="s">
        <v>49</v>
      </c>
      <c r="B35" s="46">
        <f>'Monthly Tracker'!O24</f>
        <v>0</v>
      </c>
      <c r="C35" s="47">
        <f>IF('Monthly Tracker'!O28=0,0,B35/'Monthly Tracker'!O28)</f>
        <v>0</v>
      </c>
      <c r="D35" s="46">
        <f>IF(COUNTA('Monthly Tracker'!C24:N24)=0,0,B35/COUNTA('Monthly Tracker'!C24:N24))</f>
        <v>0</v>
      </c>
      <c r="E35" s="49" t="str">
        <f t="shared" si="0"/>
        <v>OK: Reasonable spending.</v>
      </c>
    </row>
    <row r="36" spans="1:5" ht="21.75" customHeight="1" x14ac:dyDescent="0.35">
      <c r="A36" s="24" t="s">
        <v>50</v>
      </c>
      <c r="B36" s="46">
        <f>'Monthly Tracker'!O25</f>
        <v>0</v>
      </c>
      <c r="C36" s="47">
        <f>IF('Monthly Tracker'!O28=0,0,B36/'Monthly Tracker'!O28)</f>
        <v>0</v>
      </c>
      <c r="D36" s="46">
        <f>IF(COUNTA('Monthly Tracker'!C25:N25)=0,0,B36/COUNTA('Monthly Tracker'!C25:N25))</f>
        <v>0</v>
      </c>
      <c r="E36" s="49" t="str">
        <f t="shared" si="0"/>
        <v>OK: Reasonable spending.</v>
      </c>
    </row>
    <row r="37" spans="1:5" ht="21.75" customHeight="1" x14ac:dyDescent="0.35">
      <c r="A37" s="24" t="s">
        <v>51</v>
      </c>
      <c r="B37" s="46">
        <f>'Monthly Tracker'!O26</f>
        <v>0</v>
      </c>
      <c r="C37" s="47">
        <f>IF('Monthly Tracker'!O28=0,0,B37/'Monthly Tracker'!O28)</f>
        <v>0</v>
      </c>
      <c r="D37" s="46">
        <f>IF(COUNTA('Monthly Tracker'!C26:N26)=0,0,B37/COUNTA('Monthly Tracker'!C26:N26))</f>
        <v>0</v>
      </c>
      <c r="E37" s="49" t="str">
        <f t="shared" si="0"/>
        <v>OK: Reasonable spending.</v>
      </c>
    </row>
    <row r="38" spans="1:5" ht="21.75" customHeight="1" x14ac:dyDescent="0.35">
      <c r="A38" s="24" t="s">
        <v>52</v>
      </c>
      <c r="B38" s="46">
        <f>'Monthly Tracker'!O27</f>
        <v>0</v>
      </c>
      <c r="C38" s="47">
        <f>IF('Monthly Tracker'!O28=0,0,B38/'Monthly Tracker'!O28)</f>
        <v>0</v>
      </c>
      <c r="D38" s="46">
        <f>IF(COUNTA('Monthly Tracker'!C27:N27)=0,0,B38/COUNTA('Monthly Tracker'!C27:N27))</f>
        <v>0</v>
      </c>
      <c r="E38" s="49" t="str">
        <f t="shared" si="0"/>
        <v>OK: Reasonable spending.</v>
      </c>
    </row>
  </sheetData>
  <mergeCells count="6">
    <mergeCell ref="A22:N22"/>
    <mergeCell ref="A1:N1"/>
    <mergeCell ref="A2:N2"/>
    <mergeCell ref="A4:N4"/>
    <mergeCell ref="A10:N10"/>
    <mergeCell ref="A16:N16"/>
  </mergeCells>
  <conditionalFormatting sqref="C20:M20">
    <cfRule type="cellIs" dxfId="1" priority="2" operator="equal">
      <formula>"SPENDING UP"</formula>
    </cfRule>
    <cfRule type="cellIs" dxfId="0" priority="3" operator="equal">
      <formula>"SPENDING DOWN"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F150"/>
  <sheetViews>
    <sheetView zoomScaleNormal="100" workbookViewId="0"/>
  </sheetViews>
  <sheetFormatPr defaultColWidth="8.6328125" defaultRowHeight="14.5" x14ac:dyDescent="0.35"/>
  <cols>
    <col min="1" max="1" width="90" customWidth="1"/>
  </cols>
  <sheetData>
    <row r="1" spans="1:6" ht="21.75" customHeight="1" x14ac:dyDescent="0.5">
      <c r="A1" s="50" t="s">
        <v>105</v>
      </c>
      <c r="B1" s="51"/>
      <c r="C1" s="51"/>
      <c r="D1" s="51"/>
      <c r="E1" s="51"/>
      <c r="F1" s="51"/>
    </row>
    <row r="2" spans="1:6" ht="17.25" customHeight="1" x14ac:dyDescent="0.4">
      <c r="A2" s="52" t="s">
        <v>84</v>
      </c>
      <c r="B2" s="51"/>
      <c r="C2" s="51"/>
      <c r="D2" s="51"/>
      <c r="E2" s="51"/>
      <c r="F2" s="51"/>
    </row>
    <row r="3" spans="1:6" x14ac:dyDescent="0.35">
      <c r="A3" s="51"/>
      <c r="B3" s="51"/>
      <c r="C3" s="51"/>
      <c r="D3" s="51"/>
      <c r="E3" s="51"/>
      <c r="F3" s="51"/>
    </row>
    <row r="4" spans="1:6" ht="15" customHeight="1" x14ac:dyDescent="0.35">
      <c r="A4" s="53" t="s">
        <v>85</v>
      </c>
      <c r="B4" s="51"/>
      <c r="C4" s="51"/>
      <c r="D4" s="51"/>
      <c r="E4" s="51"/>
      <c r="F4" s="51"/>
    </row>
    <row r="5" spans="1:6" ht="15" customHeight="1" x14ac:dyDescent="0.35">
      <c r="A5" s="54" t="s">
        <v>86</v>
      </c>
      <c r="B5" s="51"/>
      <c r="C5" s="51"/>
      <c r="D5" s="51"/>
      <c r="E5" s="51"/>
      <c r="F5" s="51"/>
    </row>
    <row r="6" spans="1:6" ht="15" customHeight="1" x14ac:dyDescent="0.35">
      <c r="A6" s="54" t="s">
        <v>87</v>
      </c>
      <c r="B6" s="51"/>
      <c r="C6" s="51"/>
      <c r="D6" s="51"/>
      <c r="E6" s="51"/>
      <c r="F6" s="51"/>
    </row>
    <row r="7" spans="1:6" x14ac:dyDescent="0.35">
      <c r="A7" s="51"/>
      <c r="B7" s="51"/>
      <c r="C7" s="51"/>
      <c r="D7" s="51"/>
      <c r="E7" s="51"/>
      <c r="F7" s="51"/>
    </row>
    <row r="8" spans="1:6" ht="15" customHeight="1" x14ac:dyDescent="0.35">
      <c r="A8" s="53" t="s">
        <v>88</v>
      </c>
      <c r="B8" s="51"/>
      <c r="C8" s="51"/>
      <c r="D8" s="51"/>
      <c r="E8" s="51"/>
      <c r="F8" s="51"/>
    </row>
    <row r="9" spans="1:6" ht="15" customHeight="1" x14ac:dyDescent="0.35">
      <c r="A9" s="54" t="s">
        <v>89</v>
      </c>
      <c r="B9" s="51"/>
      <c r="C9" s="51"/>
      <c r="D9" s="51"/>
      <c r="E9" s="51"/>
      <c r="F9" s="51"/>
    </row>
    <row r="10" spans="1:6" ht="15" customHeight="1" x14ac:dyDescent="0.35">
      <c r="A10" s="54" t="s">
        <v>90</v>
      </c>
      <c r="B10" s="51"/>
      <c r="C10" s="51"/>
      <c r="D10" s="51"/>
      <c r="E10" s="51"/>
      <c r="F10" s="51"/>
    </row>
    <row r="11" spans="1:6" x14ac:dyDescent="0.35">
      <c r="A11" s="51"/>
      <c r="B11" s="51"/>
      <c r="C11" s="51"/>
      <c r="D11" s="51"/>
      <c r="E11" s="51"/>
      <c r="F11" s="51"/>
    </row>
    <row r="12" spans="1:6" ht="15" customHeight="1" x14ac:dyDescent="0.35">
      <c r="A12" s="53" t="s">
        <v>91</v>
      </c>
      <c r="B12" s="51"/>
      <c r="C12" s="51"/>
      <c r="D12" s="51"/>
      <c r="E12" s="51"/>
      <c r="F12" s="51"/>
    </row>
    <row r="13" spans="1:6" ht="15" customHeight="1" x14ac:dyDescent="0.35">
      <c r="A13" s="54" t="s">
        <v>92</v>
      </c>
      <c r="B13" s="51"/>
      <c r="C13" s="51"/>
      <c r="D13" s="51"/>
      <c r="E13" s="51"/>
      <c r="F13" s="51"/>
    </row>
    <row r="14" spans="1:6" ht="15" customHeight="1" x14ac:dyDescent="0.35">
      <c r="A14" s="54" t="s">
        <v>93</v>
      </c>
      <c r="B14" s="51"/>
      <c r="C14" s="51"/>
      <c r="D14" s="51"/>
      <c r="E14" s="51"/>
      <c r="F14" s="51"/>
    </row>
    <row r="15" spans="1:6" ht="15" customHeight="1" x14ac:dyDescent="0.35">
      <c r="A15" s="54" t="s">
        <v>94</v>
      </c>
      <c r="B15" s="51"/>
      <c r="C15" s="51"/>
      <c r="D15" s="51"/>
      <c r="E15" s="51"/>
      <c r="F15" s="51"/>
    </row>
    <row r="16" spans="1:6" ht="15" customHeight="1" x14ac:dyDescent="0.35">
      <c r="A16" s="54" t="s">
        <v>95</v>
      </c>
      <c r="B16" s="51"/>
      <c r="C16" s="51"/>
      <c r="D16" s="51"/>
      <c r="E16" s="51"/>
      <c r="F16" s="51"/>
    </row>
    <row r="17" spans="1:6" ht="15" customHeight="1" x14ac:dyDescent="0.35">
      <c r="A17" s="54" t="s">
        <v>96</v>
      </c>
      <c r="B17" s="51"/>
      <c r="C17" s="51"/>
      <c r="D17" s="51"/>
      <c r="E17" s="51"/>
      <c r="F17" s="51"/>
    </row>
    <row r="18" spans="1:6" ht="15" customHeight="1" x14ac:dyDescent="0.35">
      <c r="A18" s="54" t="s">
        <v>97</v>
      </c>
      <c r="B18" s="51"/>
      <c r="C18" s="51"/>
      <c r="D18" s="51"/>
      <c r="E18" s="51"/>
      <c r="F18" s="51"/>
    </row>
    <row r="19" spans="1:6" x14ac:dyDescent="0.35">
      <c r="A19" s="51"/>
      <c r="B19" s="51"/>
      <c r="C19" s="51"/>
      <c r="D19" s="51"/>
      <c r="E19" s="51"/>
      <c r="F19" s="51"/>
    </row>
    <row r="20" spans="1:6" ht="15" customHeight="1" x14ac:dyDescent="0.35">
      <c r="A20" s="53" t="s">
        <v>98</v>
      </c>
      <c r="B20" s="51"/>
      <c r="C20" s="51"/>
      <c r="D20" s="51"/>
      <c r="E20" s="51"/>
      <c r="F20" s="51"/>
    </row>
    <row r="21" spans="1:6" ht="15" customHeight="1" x14ac:dyDescent="0.35">
      <c r="A21" s="54" t="s">
        <v>99</v>
      </c>
      <c r="B21" s="51"/>
      <c r="C21" s="51"/>
      <c r="D21" s="51"/>
      <c r="E21" s="51"/>
      <c r="F21" s="51"/>
    </row>
    <row r="22" spans="1:6" ht="15" customHeight="1" x14ac:dyDescent="0.35">
      <c r="A22" s="54" t="s">
        <v>100</v>
      </c>
      <c r="B22" s="51"/>
      <c r="C22" s="51"/>
      <c r="D22" s="51"/>
      <c r="E22" s="51"/>
      <c r="F22" s="51"/>
    </row>
    <row r="23" spans="1:6" ht="15" customHeight="1" x14ac:dyDescent="0.35">
      <c r="A23" s="54" t="s">
        <v>101</v>
      </c>
      <c r="B23" s="51"/>
      <c r="C23" s="51"/>
      <c r="D23" s="51"/>
      <c r="E23" s="51"/>
      <c r="F23" s="51"/>
    </row>
    <row r="24" spans="1:6" ht="15" customHeight="1" x14ac:dyDescent="0.35">
      <c r="A24" s="54" t="s">
        <v>102</v>
      </c>
      <c r="B24" s="51"/>
      <c r="C24" s="51"/>
      <c r="D24" s="51"/>
      <c r="E24" s="51"/>
      <c r="F24" s="51"/>
    </row>
    <row r="25" spans="1:6" x14ac:dyDescent="0.35">
      <c r="A25" s="51"/>
      <c r="B25" s="51"/>
      <c r="C25" s="51"/>
      <c r="D25" s="51"/>
      <c r="E25" s="51"/>
      <c r="F25" s="51"/>
    </row>
    <row r="26" spans="1:6" ht="15" customHeight="1" x14ac:dyDescent="0.35">
      <c r="A26" s="55" t="s">
        <v>103</v>
      </c>
      <c r="B26" s="51"/>
      <c r="C26" s="51"/>
      <c r="D26" s="51"/>
      <c r="E26" s="51"/>
      <c r="F26" s="51"/>
    </row>
    <row r="27" spans="1:6" x14ac:dyDescent="0.35">
      <c r="A27" s="51"/>
      <c r="B27" s="51"/>
      <c r="C27" s="51"/>
      <c r="D27" s="51"/>
      <c r="E27" s="51"/>
      <c r="F27" s="51"/>
    </row>
    <row r="28" spans="1:6" ht="15" customHeight="1" x14ac:dyDescent="0.35">
      <c r="A28" s="54" t="s">
        <v>104</v>
      </c>
      <c r="B28" s="51"/>
      <c r="C28" s="51"/>
      <c r="D28" s="51"/>
      <c r="E28" s="51"/>
      <c r="F28" s="51"/>
    </row>
    <row r="29" spans="1:6" x14ac:dyDescent="0.35">
      <c r="A29" s="51"/>
      <c r="B29" s="51"/>
      <c r="C29" s="51"/>
      <c r="D29" s="51"/>
      <c r="E29" s="51"/>
      <c r="F29" s="51"/>
    </row>
    <row r="30" spans="1:6" x14ac:dyDescent="0.35">
      <c r="A30" s="51"/>
      <c r="B30" s="51"/>
      <c r="C30" s="51"/>
      <c r="D30" s="51"/>
      <c r="E30" s="51"/>
      <c r="F30" s="51"/>
    </row>
    <row r="31" spans="1:6" x14ac:dyDescent="0.35">
      <c r="A31" s="51"/>
      <c r="B31" s="51"/>
      <c r="C31" s="51"/>
      <c r="D31" s="51"/>
      <c r="E31" s="51"/>
      <c r="F31" s="51"/>
    </row>
    <row r="32" spans="1:6" x14ac:dyDescent="0.35">
      <c r="A32" s="51"/>
      <c r="B32" s="51"/>
      <c r="C32" s="51"/>
      <c r="D32" s="51"/>
      <c r="E32" s="51"/>
      <c r="F32" s="51"/>
    </row>
    <row r="33" spans="1:6" x14ac:dyDescent="0.35">
      <c r="A33" s="51"/>
      <c r="B33" s="51"/>
      <c r="C33" s="51"/>
      <c r="D33" s="51"/>
      <c r="E33" s="51"/>
      <c r="F33" s="51"/>
    </row>
    <row r="34" spans="1:6" x14ac:dyDescent="0.35">
      <c r="A34" s="51"/>
      <c r="B34" s="51"/>
      <c r="C34" s="51"/>
      <c r="D34" s="51"/>
      <c r="E34" s="51"/>
      <c r="F34" s="51"/>
    </row>
    <row r="35" spans="1:6" x14ac:dyDescent="0.35">
      <c r="A35" s="51"/>
      <c r="B35" s="51"/>
      <c r="C35" s="51"/>
      <c r="D35" s="51"/>
      <c r="E35" s="51"/>
      <c r="F35" s="51"/>
    </row>
    <row r="36" spans="1:6" x14ac:dyDescent="0.35">
      <c r="A36" s="51"/>
      <c r="B36" s="51"/>
      <c r="C36" s="51"/>
      <c r="D36" s="51"/>
      <c r="E36" s="51"/>
      <c r="F36" s="51"/>
    </row>
    <row r="37" spans="1:6" x14ac:dyDescent="0.35">
      <c r="A37" s="51"/>
      <c r="B37" s="51"/>
      <c r="C37" s="51"/>
      <c r="D37" s="51"/>
      <c r="E37" s="51"/>
      <c r="F37" s="51"/>
    </row>
    <row r="38" spans="1:6" x14ac:dyDescent="0.35">
      <c r="A38" s="51"/>
      <c r="B38" s="51"/>
      <c r="C38" s="51"/>
      <c r="D38" s="51"/>
      <c r="E38" s="51"/>
      <c r="F38" s="51"/>
    </row>
    <row r="39" spans="1:6" x14ac:dyDescent="0.35">
      <c r="A39" s="51"/>
      <c r="B39" s="51"/>
      <c r="C39" s="51"/>
      <c r="D39" s="51"/>
      <c r="E39" s="51"/>
      <c r="F39" s="51"/>
    </row>
    <row r="40" spans="1:6" x14ac:dyDescent="0.35">
      <c r="A40" s="51"/>
      <c r="B40" s="51"/>
      <c r="C40" s="51"/>
      <c r="D40" s="51"/>
      <c r="E40" s="51"/>
      <c r="F40" s="51"/>
    </row>
    <row r="41" spans="1:6" x14ac:dyDescent="0.35">
      <c r="A41" s="51"/>
      <c r="B41" s="51"/>
      <c r="C41" s="51"/>
      <c r="D41" s="51"/>
      <c r="E41" s="51"/>
      <c r="F41" s="51"/>
    </row>
    <row r="42" spans="1:6" x14ac:dyDescent="0.35">
      <c r="A42" s="51"/>
      <c r="B42" s="51"/>
      <c r="C42" s="51"/>
      <c r="D42" s="51"/>
      <c r="E42" s="51"/>
      <c r="F42" s="51"/>
    </row>
    <row r="43" spans="1:6" x14ac:dyDescent="0.35">
      <c r="A43" s="51"/>
      <c r="B43" s="51"/>
      <c r="C43" s="51"/>
      <c r="D43" s="51"/>
      <c r="E43" s="51"/>
      <c r="F43" s="51"/>
    </row>
    <row r="44" spans="1:6" x14ac:dyDescent="0.35">
      <c r="A44" s="51"/>
      <c r="B44" s="51"/>
      <c r="C44" s="51"/>
      <c r="D44" s="51"/>
      <c r="E44" s="51"/>
      <c r="F44" s="51"/>
    </row>
    <row r="45" spans="1:6" x14ac:dyDescent="0.35">
      <c r="A45" s="51"/>
      <c r="B45" s="51"/>
      <c r="C45" s="51"/>
      <c r="D45" s="51"/>
      <c r="E45" s="51"/>
      <c r="F45" s="51"/>
    </row>
    <row r="46" spans="1:6" x14ac:dyDescent="0.35">
      <c r="A46" s="51"/>
      <c r="B46" s="51"/>
      <c r="C46" s="51"/>
      <c r="D46" s="51"/>
      <c r="E46" s="51"/>
      <c r="F46" s="51"/>
    </row>
    <row r="47" spans="1:6" x14ac:dyDescent="0.35">
      <c r="A47" s="51"/>
      <c r="B47" s="51"/>
      <c r="C47" s="51"/>
      <c r="D47" s="51"/>
      <c r="E47" s="51"/>
      <c r="F47" s="51"/>
    </row>
    <row r="48" spans="1:6" x14ac:dyDescent="0.35">
      <c r="A48" s="51"/>
      <c r="B48" s="51"/>
      <c r="C48" s="51"/>
      <c r="D48" s="51"/>
      <c r="E48" s="51"/>
      <c r="F48" s="51"/>
    </row>
    <row r="49" spans="1:6" x14ac:dyDescent="0.35">
      <c r="A49" s="51"/>
      <c r="B49" s="51"/>
      <c r="C49" s="51"/>
      <c r="D49" s="51"/>
      <c r="E49" s="51"/>
      <c r="F49" s="51"/>
    </row>
    <row r="50" spans="1:6" x14ac:dyDescent="0.35">
      <c r="A50" s="51"/>
      <c r="B50" s="51"/>
      <c r="C50" s="51"/>
      <c r="D50" s="51"/>
      <c r="E50" s="51"/>
      <c r="F50" s="51"/>
    </row>
    <row r="51" spans="1:6" x14ac:dyDescent="0.35">
      <c r="A51" s="51"/>
      <c r="B51" s="51"/>
      <c r="C51" s="51"/>
      <c r="D51" s="51"/>
      <c r="E51" s="51"/>
      <c r="F51" s="51"/>
    </row>
    <row r="52" spans="1:6" x14ac:dyDescent="0.35">
      <c r="A52" s="51"/>
      <c r="B52" s="51"/>
      <c r="C52" s="51"/>
      <c r="D52" s="51"/>
      <c r="E52" s="51"/>
      <c r="F52" s="51"/>
    </row>
    <row r="53" spans="1:6" x14ac:dyDescent="0.35">
      <c r="A53" s="51"/>
      <c r="B53" s="51"/>
      <c r="C53" s="51"/>
      <c r="D53" s="51"/>
      <c r="E53" s="51"/>
      <c r="F53" s="51"/>
    </row>
    <row r="54" spans="1:6" x14ac:dyDescent="0.35">
      <c r="A54" s="51"/>
      <c r="B54" s="51"/>
      <c r="C54" s="51"/>
      <c r="D54" s="51"/>
      <c r="E54" s="51"/>
      <c r="F54" s="51"/>
    </row>
    <row r="55" spans="1:6" x14ac:dyDescent="0.35">
      <c r="A55" s="51"/>
      <c r="B55" s="51"/>
      <c r="C55" s="51"/>
      <c r="D55" s="51"/>
      <c r="E55" s="51"/>
      <c r="F55" s="51"/>
    </row>
    <row r="56" spans="1:6" x14ac:dyDescent="0.35">
      <c r="A56" s="51"/>
      <c r="B56" s="51"/>
      <c r="C56" s="51"/>
      <c r="D56" s="51"/>
      <c r="E56" s="51"/>
      <c r="F56" s="51"/>
    </row>
    <row r="57" spans="1:6" x14ac:dyDescent="0.35">
      <c r="A57" s="51"/>
      <c r="B57" s="51"/>
      <c r="C57" s="51"/>
      <c r="D57" s="51"/>
      <c r="E57" s="51"/>
      <c r="F57" s="51"/>
    </row>
    <row r="58" spans="1:6" x14ac:dyDescent="0.35">
      <c r="A58" s="51"/>
      <c r="B58" s="51"/>
      <c r="C58" s="51"/>
      <c r="D58" s="51"/>
      <c r="E58" s="51"/>
      <c r="F58" s="51"/>
    </row>
    <row r="59" spans="1:6" x14ac:dyDescent="0.35">
      <c r="A59" s="51"/>
      <c r="B59" s="51"/>
      <c r="C59" s="51"/>
      <c r="D59" s="51"/>
      <c r="E59" s="51"/>
      <c r="F59" s="51"/>
    </row>
    <row r="60" spans="1:6" x14ac:dyDescent="0.35">
      <c r="A60" s="51"/>
      <c r="B60" s="51"/>
      <c r="C60" s="51"/>
      <c r="D60" s="51"/>
      <c r="E60" s="51"/>
      <c r="F60" s="51"/>
    </row>
    <row r="61" spans="1:6" x14ac:dyDescent="0.35">
      <c r="A61" s="51"/>
      <c r="B61" s="51"/>
      <c r="C61" s="51"/>
      <c r="D61" s="51"/>
      <c r="E61" s="51"/>
      <c r="F61" s="51"/>
    </row>
    <row r="62" spans="1:6" x14ac:dyDescent="0.35">
      <c r="A62" s="51"/>
      <c r="B62" s="51"/>
      <c r="C62" s="51"/>
      <c r="D62" s="51"/>
      <c r="E62" s="51"/>
      <c r="F62" s="51"/>
    </row>
    <row r="63" spans="1:6" x14ac:dyDescent="0.35">
      <c r="A63" s="51"/>
      <c r="B63" s="51"/>
      <c r="C63" s="51"/>
      <c r="D63" s="51"/>
      <c r="E63" s="51"/>
      <c r="F63" s="51"/>
    </row>
    <row r="64" spans="1:6" x14ac:dyDescent="0.35">
      <c r="A64" s="51"/>
      <c r="B64" s="51"/>
      <c r="C64" s="51"/>
      <c r="D64" s="51"/>
      <c r="E64" s="51"/>
      <c r="F64" s="51"/>
    </row>
    <row r="65" spans="1:6" x14ac:dyDescent="0.35">
      <c r="A65" s="51"/>
      <c r="B65" s="51"/>
      <c r="C65" s="51"/>
      <c r="D65" s="51"/>
      <c r="E65" s="51"/>
      <c r="F65" s="51"/>
    </row>
    <row r="66" spans="1:6" x14ac:dyDescent="0.35">
      <c r="A66" s="51"/>
      <c r="B66" s="51"/>
      <c r="C66" s="51"/>
      <c r="D66" s="51"/>
      <c r="E66" s="51"/>
      <c r="F66" s="51"/>
    </row>
    <row r="67" spans="1:6" x14ac:dyDescent="0.35">
      <c r="A67" s="51"/>
      <c r="B67" s="51"/>
      <c r="C67" s="51"/>
      <c r="D67" s="51"/>
      <c r="E67" s="51"/>
      <c r="F67" s="51"/>
    </row>
    <row r="68" spans="1:6" x14ac:dyDescent="0.35">
      <c r="A68" s="51"/>
      <c r="B68" s="51"/>
      <c r="C68" s="51"/>
      <c r="D68" s="51"/>
      <c r="E68" s="51"/>
      <c r="F68" s="51"/>
    </row>
    <row r="69" spans="1:6" x14ac:dyDescent="0.35">
      <c r="A69" s="51"/>
      <c r="B69" s="51"/>
      <c r="C69" s="51"/>
      <c r="D69" s="51"/>
      <c r="E69" s="51"/>
      <c r="F69" s="51"/>
    </row>
    <row r="70" spans="1:6" x14ac:dyDescent="0.35">
      <c r="A70" s="51"/>
      <c r="B70" s="51"/>
      <c r="C70" s="51"/>
      <c r="D70" s="51"/>
      <c r="E70" s="51"/>
      <c r="F70" s="51"/>
    </row>
    <row r="71" spans="1:6" x14ac:dyDescent="0.35">
      <c r="A71" s="51"/>
      <c r="B71" s="51"/>
      <c r="C71" s="51"/>
      <c r="D71" s="51"/>
      <c r="E71" s="51"/>
      <c r="F71" s="51"/>
    </row>
    <row r="72" spans="1:6" x14ac:dyDescent="0.35">
      <c r="A72" s="51"/>
      <c r="B72" s="51"/>
      <c r="C72" s="51"/>
      <c r="D72" s="51"/>
      <c r="E72" s="51"/>
      <c r="F72" s="51"/>
    </row>
    <row r="73" spans="1:6" x14ac:dyDescent="0.35">
      <c r="A73" s="51"/>
      <c r="B73" s="51"/>
      <c r="C73" s="51"/>
      <c r="D73" s="51"/>
      <c r="E73" s="51"/>
      <c r="F73" s="51"/>
    </row>
    <row r="74" spans="1:6" x14ac:dyDescent="0.35">
      <c r="A74" s="51"/>
      <c r="B74" s="51"/>
      <c r="C74" s="51"/>
      <c r="D74" s="51"/>
      <c r="E74" s="51"/>
      <c r="F74" s="51"/>
    </row>
    <row r="75" spans="1:6" x14ac:dyDescent="0.35">
      <c r="A75" s="51"/>
      <c r="B75" s="51"/>
      <c r="C75" s="51"/>
      <c r="D75" s="51"/>
      <c r="E75" s="51"/>
      <c r="F75" s="51"/>
    </row>
    <row r="76" spans="1:6" x14ac:dyDescent="0.35">
      <c r="A76" s="51"/>
      <c r="B76" s="51"/>
      <c r="C76" s="51"/>
      <c r="D76" s="51"/>
      <c r="E76" s="51"/>
      <c r="F76" s="51"/>
    </row>
    <row r="77" spans="1:6" x14ac:dyDescent="0.35">
      <c r="A77" s="51"/>
      <c r="B77" s="51"/>
      <c r="C77" s="51"/>
      <c r="D77" s="51"/>
      <c r="E77" s="51"/>
      <c r="F77" s="51"/>
    </row>
    <row r="78" spans="1:6" x14ac:dyDescent="0.35">
      <c r="A78" s="51"/>
      <c r="B78" s="51"/>
      <c r="C78" s="51"/>
      <c r="D78" s="51"/>
      <c r="E78" s="51"/>
      <c r="F78" s="51"/>
    </row>
    <row r="79" spans="1:6" x14ac:dyDescent="0.35">
      <c r="A79" s="51"/>
      <c r="B79" s="51"/>
      <c r="C79" s="51"/>
      <c r="D79" s="51"/>
      <c r="E79" s="51"/>
      <c r="F79" s="51"/>
    </row>
    <row r="80" spans="1:6" x14ac:dyDescent="0.35">
      <c r="A80" s="51"/>
      <c r="B80" s="51"/>
      <c r="C80" s="51"/>
      <c r="D80" s="51"/>
      <c r="E80" s="51"/>
      <c r="F80" s="51"/>
    </row>
    <row r="81" spans="1:6" x14ac:dyDescent="0.35">
      <c r="A81" s="51"/>
      <c r="B81" s="51"/>
      <c r="C81" s="51"/>
      <c r="D81" s="51"/>
      <c r="E81" s="51"/>
      <c r="F81" s="51"/>
    </row>
    <row r="82" spans="1:6" x14ac:dyDescent="0.35">
      <c r="A82" s="51"/>
      <c r="B82" s="51"/>
      <c r="C82" s="51"/>
      <c r="D82" s="51"/>
      <c r="E82" s="51"/>
      <c r="F82" s="51"/>
    </row>
    <row r="83" spans="1:6" x14ac:dyDescent="0.35">
      <c r="A83" s="51"/>
      <c r="B83" s="51"/>
      <c r="C83" s="51"/>
      <c r="D83" s="51"/>
      <c r="E83" s="51"/>
      <c r="F83" s="51"/>
    </row>
    <row r="84" spans="1:6" x14ac:dyDescent="0.35">
      <c r="A84" s="51"/>
      <c r="B84" s="51"/>
      <c r="C84" s="51"/>
      <c r="D84" s="51"/>
      <c r="E84" s="51"/>
      <c r="F84" s="51"/>
    </row>
    <row r="85" spans="1:6" x14ac:dyDescent="0.35">
      <c r="A85" s="51"/>
      <c r="B85" s="51"/>
      <c r="C85" s="51"/>
      <c r="D85" s="51"/>
      <c r="E85" s="51"/>
      <c r="F85" s="51"/>
    </row>
    <row r="86" spans="1:6" x14ac:dyDescent="0.35">
      <c r="A86" s="51"/>
      <c r="B86" s="51"/>
      <c r="C86" s="51"/>
      <c r="D86" s="51"/>
      <c r="E86" s="51"/>
      <c r="F86" s="51"/>
    </row>
    <row r="87" spans="1:6" x14ac:dyDescent="0.35">
      <c r="A87" s="51"/>
      <c r="B87" s="51"/>
      <c r="C87" s="51"/>
      <c r="D87" s="51"/>
      <c r="E87" s="51"/>
      <c r="F87" s="51"/>
    </row>
    <row r="88" spans="1:6" x14ac:dyDescent="0.35">
      <c r="A88" s="51"/>
      <c r="B88" s="51"/>
      <c r="C88" s="51"/>
      <c r="D88" s="51"/>
      <c r="E88" s="51"/>
      <c r="F88" s="51"/>
    </row>
    <row r="89" spans="1:6" x14ac:dyDescent="0.35">
      <c r="A89" s="51"/>
      <c r="B89" s="51"/>
      <c r="C89" s="51"/>
      <c r="D89" s="51"/>
      <c r="E89" s="51"/>
      <c r="F89" s="51"/>
    </row>
    <row r="90" spans="1:6" x14ac:dyDescent="0.35">
      <c r="A90" s="51"/>
      <c r="B90" s="51"/>
      <c r="C90" s="51"/>
      <c r="D90" s="51"/>
      <c r="E90" s="51"/>
      <c r="F90" s="51"/>
    </row>
    <row r="91" spans="1:6" x14ac:dyDescent="0.35">
      <c r="A91" s="51"/>
      <c r="B91" s="51"/>
      <c r="C91" s="51"/>
      <c r="D91" s="51"/>
      <c r="E91" s="51"/>
      <c r="F91" s="51"/>
    </row>
    <row r="92" spans="1:6" x14ac:dyDescent="0.35">
      <c r="A92" s="51"/>
      <c r="B92" s="51"/>
      <c r="C92" s="51"/>
      <c r="D92" s="51"/>
      <c r="E92" s="51"/>
      <c r="F92" s="51"/>
    </row>
    <row r="93" spans="1:6" x14ac:dyDescent="0.35">
      <c r="A93" s="51"/>
      <c r="B93" s="51"/>
      <c r="C93" s="51"/>
      <c r="D93" s="51"/>
      <c r="E93" s="51"/>
      <c r="F93" s="51"/>
    </row>
    <row r="94" spans="1:6" x14ac:dyDescent="0.35">
      <c r="A94" s="51"/>
      <c r="B94" s="51"/>
      <c r="C94" s="51"/>
      <c r="D94" s="51"/>
      <c r="E94" s="51"/>
      <c r="F94" s="51"/>
    </row>
    <row r="95" spans="1:6" x14ac:dyDescent="0.35">
      <c r="A95" s="51"/>
      <c r="B95" s="51"/>
      <c r="C95" s="51"/>
      <c r="D95" s="51"/>
      <c r="E95" s="51"/>
      <c r="F95" s="51"/>
    </row>
    <row r="96" spans="1:6" x14ac:dyDescent="0.35">
      <c r="A96" s="51"/>
      <c r="B96" s="51"/>
      <c r="C96" s="51"/>
      <c r="D96" s="51"/>
      <c r="E96" s="51"/>
      <c r="F96" s="51"/>
    </row>
    <row r="97" spans="1:6" x14ac:dyDescent="0.35">
      <c r="A97" s="51"/>
      <c r="B97" s="51"/>
      <c r="C97" s="51"/>
      <c r="D97" s="51"/>
      <c r="E97" s="51"/>
      <c r="F97" s="51"/>
    </row>
    <row r="98" spans="1:6" x14ac:dyDescent="0.35">
      <c r="A98" s="51"/>
      <c r="B98" s="51"/>
      <c r="C98" s="51"/>
      <c r="D98" s="51"/>
      <c r="E98" s="51"/>
      <c r="F98" s="51"/>
    </row>
    <row r="99" spans="1:6" x14ac:dyDescent="0.35">
      <c r="A99" s="51"/>
      <c r="B99" s="51"/>
      <c r="C99" s="51"/>
      <c r="D99" s="51"/>
      <c r="E99" s="51"/>
      <c r="F99" s="51"/>
    </row>
    <row r="100" spans="1:6" x14ac:dyDescent="0.35">
      <c r="A100" s="51"/>
      <c r="B100" s="51"/>
      <c r="C100" s="51"/>
      <c r="D100" s="51"/>
      <c r="E100" s="51"/>
      <c r="F100" s="51"/>
    </row>
    <row r="101" spans="1:6" x14ac:dyDescent="0.35">
      <c r="A101" s="51"/>
      <c r="B101" s="51"/>
      <c r="C101" s="51"/>
      <c r="D101" s="51"/>
      <c r="E101" s="51"/>
      <c r="F101" s="51"/>
    </row>
    <row r="102" spans="1:6" x14ac:dyDescent="0.35">
      <c r="A102" s="51"/>
      <c r="B102" s="51"/>
      <c r="C102" s="51"/>
      <c r="D102" s="51"/>
      <c r="E102" s="51"/>
      <c r="F102" s="51"/>
    </row>
    <row r="103" spans="1:6" x14ac:dyDescent="0.35">
      <c r="A103" s="51"/>
      <c r="B103" s="51"/>
      <c r="C103" s="51"/>
      <c r="D103" s="51"/>
      <c r="E103" s="51"/>
      <c r="F103" s="51"/>
    </row>
    <row r="104" spans="1:6" x14ac:dyDescent="0.35">
      <c r="A104" s="51"/>
      <c r="B104" s="51"/>
      <c r="C104" s="51"/>
      <c r="D104" s="51"/>
      <c r="E104" s="51"/>
      <c r="F104" s="51"/>
    </row>
    <row r="105" spans="1:6" x14ac:dyDescent="0.35">
      <c r="A105" s="51"/>
      <c r="B105" s="51"/>
      <c r="C105" s="51"/>
      <c r="D105" s="51"/>
      <c r="E105" s="51"/>
      <c r="F105" s="51"/>
    </row>
    <row r="106" spans="1:6" x14ac:dyDescent="0.35">
      <c r="A106" s="51"/>
      <c r="B106" s="51"/>
      <c r="C106" s="51"/>
      <c r="D106" s="51"/>
      <c r="E106" s="51"/>
      <c r="F106" s="51"/>
    </row>
    <row r="107" spans="1:6" x14ac:dyDescent="0.35">
      <c r="A107" s="51"/>
      <c r="B107" s="51"/>
      <c r="C107" s="51"/>
      <c r="D107" s="51"/>
      <c r="E107" s="51"/>
      <c r="F107" s="51"/>
    </row>
    <row r="108" spans="1:6" x14ac:dyDescent="0.35">
      <c r="A108" s="51"/>
      <c r="B108" s="51"/>
      <c r="C108" s="51"/>
      <c r="D108" s="51"/>
      <c r="E108" s="51"/>
      <c r="F108" s="51"/>
    </row>
    <row r="109" spans="1:6" x14ac:dyDescent="0.35">
      <c r="A109" s="51"/>
      <c r="B109" s="51"/>
      <c r="C109" s="51"/>
      <c r="D109" s="51"/>
      <c r="E109" s="51"/>
      <c r="F109" s="51"/>
    </row>
    <row r="110" spans="1:6" x14ac:dyDescent="0.35">
      <c r="A110" s="51"/>
      <c r="B110" s="51"/>
      <c r="C110" s="51"/>
      <c r="D110" s="51"/>
      <c r="E110" s="51"/>
      <c r="F110" s="51"/>
    </row>
    <row r="111" spans="1:6" x14ac:dyDescent="0.35">
      <c r="A111" s="51"/>
      <c r="B111" s="51"/>
      <c r="C111" s="51"/>
      <c r="D111" s="51"/>
      <c r="E111" s="51"/>
      <c r="F111" s="51"/>
    </row>
    <row r="112" spans="1:6" x14ac:dyDescent="0.35">
      <c r="A112" s="51"/>
      <c r="B112" s="51"/>
      <c r="C112" s="51"/>
      <c r="D112" s="51"/>
      <c r="E112" s="51"/>
      <c r="F112" s="51"/>
    </row>
    <row r="113" spans="1:6" x14ac:dyDescent="0.35">
      <c r="A113" s="51"/>
      <c r="B113" s="51"/>
      <c r="C113" s="51"/>
      <c r="D113" s="51"/>
      <c r="E113" s="51"/>
      <c r="F113" s="51"/>
    </row>
    <row r="114" spans="1:6" x14ac:dyDescent="0.35">
      <c r="A114" s="51"/>
      <c r="B114" s="51"/>
      <c r="C114" s="51"/>
      <c r="D114" s="51"/>
      <c r="E114" s="51"/>
      <c r="F114" s="51"/>
    </row>
    <row r="115" spans="1:6" x14ac:dyDescent="0.35">
      <c r="A115" s="51"/>
      <c r="B115" s="51"/>
      <c r="C115" s="51"/>
      <c r="D115" s="51"/>
      <c r="E115" s="51"/>
      <c r="F115" s="51"/>
    </row>
    <row r="116" spans="1:6" x14ac:dyDescent="0.35">
      <c r="A116" s="51"/>
      <c r="B116" s="51"/>
      <c r="C116" s="51"/>
      <c r="D116" s="51"/>
      <c r="E116" s="51"/>
      <c r="F116" s="51"/>
    </row>
    <row r="117" spans="1:6" x14ac:dyDescent="0.35">
      <c r="A117" s="51"/>
      <c r="B117" s="51"/>
      <c r="C117" s="51"/>
      <c r="D117" s="51"/>
      <c r="E117" s="51"/>
      <c r="F117" s="51"/>
    </row>
    <row r="118" spans="1:6" x14ac:dyDescent="0.35">
      <c r="A118" s="51"/>
      <c r="B118" s="51"/>
      <c r="C118" s="51"/>
      <c r="D118" s="51"/>
      <c r="E118" s="51"/>
      <c r="F118" s="51"/>
    </row>
    <row r="119" spans="1:6" x14ac:dyDescent="0.35">
      <c r="A119" s="51"/>
      <c r="B119" s="51"/>
      <c r="C119" s="51"/>
      <c r="D119" s="51"/>
      <c r="E119" s="51"/>
      <c r="F119" s="51"/>
    </row>
    <row r="120" spans="1:6" x14ac:dyDescent="0.35">
      <c r="A120" s="51"/>
      <c r="B120" s="51"/>
      <c r="C120" s="51"/>
      <c r="D120" s="51"/>
      <c r="E120" s="51"/>
      <c r="F120" s="51"/>
    </row>
    <row r="121" spans="1:6" x14ac:dyDescent="0.35">
      <c r="A121" s="51"/>
      <c r="B121" s="51"/>
      <c r="C121" s="51"/>
      <c r="D121" s="51"/>
      <c r="E121" s="51"/>
      <c r="F121" s="51"/>
    </row>
    <row r="122" spans="1:6" x14ac:dyDescent="0.35">
      <c r="A122" s="51"/>
      <c r="B122" s="51"/>
      <c r="C122" s="51"/>
      <c r="D122" s="51"/>
      <c r="E122" s="51"/>
      <c r="F122" s="51"/>
    </row>
    <row r="123" spans="1:6" x14ac:dyDescent="0.35">
      <c r="A123" s="51"/>
      <c r="B123" s="51"/>
      <c r="C123" s="51"/>
      <c r="D123" s="51"/>
      <c r="E123" s="51"/>
      <c r="F123" s="51"/>
    </row>
    <row r="124" spans="1:6" x14ac:dyDescent="0.35">
      <c r="A124" s="51"/>
      <c r="B124" s="51"/>
      <c r="C124" s="51"/>
      <c r="D124" s="51"/>
      <c r="E124" s="51"/>
      <c r="F124" s="51"/>
    </row>
    <row r="125" spans="1:6" x14ac:dyDescent="0.35">
      <c r="A125" s="51"/>
      <c r="B125" s="51"/>
      <c r="C125" s="51"/>
      <c r="D125" s="51"/>
      <c r="E125" s="51"/>
      <c r="F125" s="51"/>
    </row>
    <row r="126" spans="1:6" x14ac:dyDescent="0.35">
      <c r="A126" s="51"/>
      <c r="B126" s="51"/>
      <c r="C126" s="51"/>
      <c r="D126" s="51"/>
      <c r="E126" s="51"/>
      <c r="F126" s="51"/>
    </row>
    <row r="127" spans="1:6" x14ac:dyDescent="0.35">
      <c r="A127" s="51"/>
      <c r="B127" s="51"/>
      <c r="C127" s="51"/>
      <c r="D127" s="51"/>
      <c r="E127" s="51"/>
      <c r="F127" s="51"/>
    </row>
    <row r="128" spans="1:6" x14ac:dyDescent="0.35">
      <c r="A128" s="51"/>
      <c r="B128" s="51"/>
      <c r="C128" s="51"/>
      <c r="D128" s="51"/>
      <c r="E128" s="51"/>
      <c r="F128" s="51"/>
    </row>
    <row r="129" spans="1:6" x14ac:dyDescent="0.35">
      <c r="A129" s="51"/>
      <c r="B129" s="51"/>
      <c r="C129" s="51"/>
      <c r="D129" s="51"/>
      <c r="E129" s="51"/>
      <c r="F129" s="51"/>
    </row>
    <row r="130" spans="1:6" x14ac:dyDescent="0.35">
      <c r="A130" s="51"/>
      <c r="B130" s="51"/>
      <c r="C130" s="51"/>
      <c r="D130" s="51"/>
      <c r="E130" s="51"/>
      <c r="F130" s="51"/>
    </row>
    <row r="131" spans="1:6" x14ac:dyDescent="0.35">
      <c r="A131" s="51"/>
      <c r="B131" s="51"/>
      <c r="C131" s="51"/>
      <c r="D131" s="51"/>
      <c r="E131" s="51"/>
      <c r="F131" s="51"/>
    </row>
    <row r="132" spans="1:6" x14ac:dyDescent="0.35">
      <c r="A132" s="51"/>
      <c r="B132" s="51"/>
      <c r="C132" s="51"/>
      <c r="D132" s="51"/>
      <c r="E132" s="51"/>
      <c r="F132" s="51"/>
    </row>
    <row r="133" spans="1:6" x14ac:dyDescent="0.35">
      <c r="A133" s="51"/>
      <c r="B133" s="51"/>
      <c r="C133" s="51"/>
      <c r="D133" s="51"/>
      <c r="E133" s="51"/>
      <c r="F133" s="51"/>
    </row>
    <row r="134" spans="1:6" x14ac:dyDescent="0.35">
      <c r="A134" s="51"/>
      <c r="B134" s="51"/>
      <c r="C134" s="51"/>
      <c r="D134" s="51"/>
      <c r="E134" s="51"/>
      <c r="F134" s="51"/>
    </row>
    <row r="135" spans="1:6" x14ac:dyDescent="0.35">
      <c r="A135" s="51"/>
      <c r="B135" s="51"/>
      <c r="C135" s="51"/>
      <c r="D135" s="51"/>
      <c r="E135" s="51"/>
      <c r="F135" s="51"/>
    </row>
    <row r="136" spans="1:6" x14ac:dyDescent="0.35">
      <c r="A136" s="51"/>
      <c r="B136" s="51"/>
      <c r="C136" s="51"/>
      <c r="D136" s="51"/>
      <c r="E136" s="51"/>
      <c r="F136" s="51"/>
    </row>
    <row r="137" spans="1:6" x14ac:dyDescent="0.35">
      <c r="A137" s="51"/>
      <c r="B137" s="51"/>
      <c r="C137" s="51"/>
      <c r="D137" s="51"/>
      <c r="E137" s="51"/>
      <c r="F137" s="51"/>
    </row>
    <row r="138" spans="1:6" x14ac:dyDescent="0.35">
      <c r="A138" s="51"/>
      <c r="B138" s="51"/>
      <c r="C138" s="51"/>
      <c r="D138" s="51"/>
      <c r="E138" s="51"/>
      <c r="F138" s="51"/>
    </row>
    <row r="139" spans="1:6" x14ac:dyDescent="0.35">
      <c r="A139" s="51"/>
      <c r="B139" s="51"/>
      <c r="C139" s="51"/>
      <c r="D139" s="51"/>
      <c r="E139" s="51"/>
      <c r="F139" s="51"/>
    </row>
    <row r="140" spans="1:6" x14ac:dyDescent="0.35">
      <c r="A140" s="51"/>
      <c r="B140" s="51"/>
      <c r="C140" s="51"/>
      <c r="D140" s="51"/>
      <c r="E140" s="51"/>
      <c r="F140" s="51"/>
    </row>
    <row r="141" spans="1:6" x14ac:dyDescent="0.35">
      <c r="A141" s="51"/>
      <c r="B141" s="51"/>
      <c r="C141" s="51"/>
      <c r="D141" s="51"/>
      <c r="E141" s="51"/>
      <c r="F141" s="51"/>
    </row>
    <row r="142" spans="1:6" x14ac:dyDescent="0.35">
      <c r="A142" s="51"/>
      <c r="B142" s="51"/>
      <c r="C142" s="51"/>
      <c r="D142" s="51"/>
      <c r="E142" s="51"/>
      <c r="F142" s="51"/>
    </row>
    <row r="143" spans="1:6" x14ac:dyDescent="0.35">
      <c r="A143" s="51"/>
      <c r="B143" s="51"/>
      <c r="C143" s="51"/>
      <c r="D143" s="51"/>
      <c r="E143" s="51"/>
      <c r="F143" s="51"/>
    </row>
    <row r="144" spans="1:6" x14ac:dyDescent="0.35">
      <c r="A144" s="51"/>
      <c r="B144" s="51"/>
      <c r="C144" s="51"/>
      <c r="D144" s="51"/>
      <c r="E144" s="51"/>
      <c r="F144" s="51"/>
    </row>
    <row r="145" spans="1:6" x14ac:dyDescent="0.35">
      <c r="A145" s="51"/>
      <c r="B145" s="51"/>
      <c r="C145" s="51"/>
      <c r="D145" s="51"/>
      <c r="E145" s="51"/>
      <c r="F145" s="51"/>
    </row>
    <row r="146" spans="1:6" x14ac:dyDescent="0.35">
      <c r="A146" s="51"/>
      <c r="B146" s="51"/>
      <c r="C146" s="51"/>
      <c r="D146" s="51"/>
      <c r="E146" s="51"/>
      <c r="F146" s="51"/>
    </row>
    <row r="147" spans="1:6" x14ac:dyDescent="0.35">
      <c r="A147" s="51"/>
      <c r="B147" s="51"/>
      <c r="C147" s="51"/>
      <c r="D147" s="51"/>
      <c r="E147" s="51"/>
      <c r="F147" s="51"/>
    </row>
    <row r="148" spans="1:6" x14ac:dyDescent="0.35">
      <c r="A148" s="51"/>
      <c r="B148" s="51"/>
      <c r="C148" s="51"/>
      <c r="D148" s="51"/>
      <c r="E148" s="51"/>
      <c r="F148" s="51"/>
    </row>
    <row r="149" spans="1:6" x14ac:dyDescent="0.35">
      <c r="A149" s="51"/>
      <c r="B149" s="51"/>
      <c r="C149" s="51"/>
      <c r="D149" s="51"/>
      <c r="E149" s="51"/>
      <c r="F149" s="51"/>
    </row>
    <row r="150" spans="1:6" x14ac:dyDescent="0.35">
      <c r="A150" s="51"/>
      <c r="B150" s="51"/>
      <c r="C150" s="51"/>
      <c r="D150" s="51"/>
      <c r="E150" s="51"/>
      <c r="F150" s="5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Monthly Tracker</vt:lpstr>
      <vt:lpstr>Spending Insights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vasuki balu</cp:lastModifiedBy>
  <cp:revision>2</cp:revision>
  <dcterms:created xsi:type="dcterms:W3CDTF">2026-04-22T15:23:35Z</dcterms:created>
  <dcterms:modified xsi:type="dcterms:W3CDTF">2026-04-22T17:04:05Z</dcterms:modified>
  <dc:language>en-US</dc:language>
</cp:coreProperties>
</file>